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INPUT" sheetId="2" r:id="rId6"/>
    <sheet state="visible" name="1 PAGE" sheetId="3" r:id="rId7"/>
  </sheets>
  <definedNames>
    <definedName hidden="1" localSheetId="0" name="_xlnm._FilterDatabase">'Form Responses 1'!$A$1:$AJ$39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Responder updated this value.</t>
      </text>
    </comment>
    <comment authorId="0" ref="H38">
      <text>
        <t xml:space="preserve">Responder updated this value.</t>
      </text>
    </comment>
    <comment authorId="0" ref="R13">
      <text>
        <t xml:space="preserve">Responder updated this value.</t>
      </text>
    </comment>
    <comment authorId="0" ref="AI29">
      <text>
        <t xml:space="preserve">Responder updated this value.</t>
      </text>
    </comment>
    <comment authorId="0" ref="R9">
      <text>
        <t xml:space="preserve">Responder updated this value.</t>
      </text>
    </comment>
    <comment authorId="0" ref="S9">
      <text>
        <t xml:space="preserve">Responder updated this value.</t>
      </text>
    </comment>
    <comment authorId="0" ref="AI25">
      <text>
        <t xml:space="preserve">Responder updated this value.</t>
      </text>
    </comment>
    <comment authorId="0" ref="R38">
      <text>
        <t xml:space="preserve">Responder updated this value.</t>
      </text>
    </comment>
    <comment authorId="0" ref="S38">
      <text>
        <t xml:space="preserve">Responder updated this value.</t>
      </text>
    </comment>
    <comment authorId="0" ref="AI13">
      <text>
        <t xml:space="preserve">Responder updated this value.</t>
      </text>
    </comment>
    <comment authorId="0" ref="AI9">
      <text>
        <t xml:space="preserve">Responder updated this value.</t>
      </text>
    </comment>
    <comment authorId="0" ref="AI38">
      <text>
        <t xml:space="preserve">Responder updated this value.</t>
      </text>
    </comment>
    <comment authorId="0" ref="AJ38">
      <text>
        <t xml:space="preserve">Responder updated this value.</t>
      </text>
    </comment>
    <comment authorId="0" ref="C2">
      <text>
        <t xml:space="preserve">Responder updated this value.</t>
      </text>
    </comment>
    <comment authorId="0" ref="T18">
      <text>
        <t xml:space="preserve">Responder updated this value.</t>
      </text>
    </comment>
    <comment authorId="0" ref="G2">
      <text>
        <t xml:space="preserve">Responder updated this value.</t>
      </text>
    </comment>
    <comment authorId="0" ref="K2">
      <text>
        <t xml:space="preserve">Responder updated this value.</t>
      </text>
    </comment>
    <comment authorId="0" ref="M2">
      <text>
        <t xml:space="preserve">Responder updated this value.</t>
      </text>
    </comment>
    <comment authorId="0" ref="O2">
      <text>
        <t xml:space="preserve">Responder updated this value.</t>
      </text>
    </comment>
    <comment authorId="0" ref="P2">
      <text>
        <t xml:space="preserve">Responder updated this value.</t>
      </text>
    </comment>
    <comment authorId="0" ref="Q2">
      <text>
        <t xml:space="preserve">Responder updated this value.</t>
      </text>
    </comment>
    <comment authorId="0" ref="R2">
      <text>
        <t xml:space="preserve">Responder updated this value.</t>
      </text>
    </comment>
    <comment authorId="0" ref="S2">
      <text>
        <t xml:space="preserve">Responder updated this value.</t>
      </text>
    </comment>
    <comment authorId="0" ref="AI18">
      <text>
        <t xml:space="preserve">Responder updated this value.</t>
      </text>
    </comment>
    <comment authorId="0" ref="T2">
      <text>
        <t xml:space="preserve">Responder updated this value.</t>
      </text>
    </comment>
    <comment authorId="0" ref="U2">
      <text>
        <t xml:space="preserve">Responder updated this value.</t>
      </text>
    </comment>
    <comment authorId="0" ref="V2">
      <text>
        <t xml:space="preserve">Responder updated this value.</t>
      </text>
    </comment>
    <comment authorId="0" ref="W2">
      <text>
        <t xml:space="preserve">Responder updated this value.</t>
      </text>
    </comment>
    <comment authorId="0" ref="X2">
      <text>
        <t xml:space="preserve">Responder updated this value.</t>
      </text>
    </comment>
    <comment authorId="0" ref="Y2">
      <text>
        <t xml:space="preserve">Responder updated this value.</t>
      </text>
    </comment>
    <comment authorId="0" ref="R27">
      <text>
        <t xml:space="preserve">Responder updated this value.</t>
      </text>
    </comment>
    <comment authorId="0" ref="Z2">
      <text>
        <t xml:space="preserve">Responder updated this value.</t>
      </text>
    </comment>
    <comment authorId="0" ref="AA2">
      <text>
        <t xml:space="preserve">Responder updated this value.</t>
      </text>
    </comment>
    <comment authorId="0" ref="AI10">
      <text>
        <t xml:space="preserve">Responder updated this value.</t>
      </text>
    </comment>
    <comment authorId="0" ref="AB2">
      <text>
        <t xml:space="preserve">Responder updated this value.</t>
      </text>
    </comment>
    <comment authorId="0" ref="AC2">
      <text>
        <t xml:space="preserve">Responder updated this value.</t>
      </text>
    </comment>
    <comment authorId="0" ref="AD2">
      <text>
        <t xml:space="preserve">Responder updated this value.</t>
      </text>
    </comment>
    <comment authorId="0" ref="AE2">
      <text>
        <t xml:space="preserve">Responder updated this value.</t>
      </text>
    </comment>
    <comment authorId="0" ref="AF2">
      <text>
        <t xml:space="preserve">Responder updated this value.</t>
      </text>
    </comment>
    <comment authorId="0" ref="AG2">
      <text>
        <t xml:space="preserve">Responder updated this value.</t>
      </text>
    </comment>
    <comment authorId="0" ref="C36">
      <text>
        <t xml:space="preserve">Responder updated this value.</t>
      </text>
    </comment>
    <comment authorId="0" ref="AH2">
      <text>
        <t xml:space="preserve">Responder updated this value.</t>
      </text>
    </comment>
    <comment authorId="0" ref="AI35">
      <text>
        <t xml:space="preserve">Responder updated this value.</t>
      </text>
    </comment>
    <comment authorId="0" ref="D36">
      <text>
        <t xml:space="preserve">Responder updated this value.</t>
      </text>
    </comment>
    <comment authorId="0" ref="AI2">
      <text>
        <t xml:space="preserve">Responder updated this value.</t>
      </text>
    </comment>
    <comment authorId="0" ref="AJ2">
      <text>
        <t xml:space="preserve">Responder updated this value.</t>
      </text>
    </comment>
    <comment authorId="0" ref="F36">
      <text>
        <t xml:space="preserve">Responder updated this value.</t>
      </text>
    </comment>
    <comment authorId="0" ref="H36">
      <text>
        <t xml:space="preserve">Responder updated this value.</t>
      </text>
    </comment>
    <comment authorId="0" ref="J36">
      <text>
        <t xml:space="preserve">Responder updated this value.</t>
      </text>
    </comment>
    <comment authorId="0" ref="AI27">
      <text>
        <t xml:space="preserve">Responder updated this value.</t>
      </text>
    </comment>
    <comment authorId="0" ref="M36">
      <text>
        <t xml:space="preserve">Responder updated this value.</t>
      </text>
    </comment>
    <comment authorId="0" ref="O36">
      <text>
        <t xml:space="preserve">Responder updated this value.</t>
      </text>
    </comment>
    <comment authorId="0" ref="AI23">
      <text>
        <t xml:space="preserve">Responder updated this value.</t>
      </text>
    </comment>
    <comment authorId="0" ref="T36">
      <text>
        <t xml:space="preserve">Responder updated this value.</t>
      </text>
    </comment>
    <comment authorId="0" ref="U36">
      <text>
        <t xml:space="preserve">Responder updated this value.</t>
      </text>
    </comment>
    <comment authorId="0" ref="V36">
      <text>
        <t xml:space="preserve">Responder updated this value.</t>
      </text>
    </comment>
    <comment authorId="0" ref="Q28">
      <text>
        <t xml:space="preserve">Responder updated this value.</t>
      </text>
    </comment>
    <comment authorId="0" ref="R28">
      <text>
        <t xml:space="preserve">Responder updated this value.</t>
      </text>
    </comment>
    <comment authorId="0" ref="C12">
      <text>
        <t xml:space="preserve">Responder updated this value.</t>
      </text>
    </comment>
    <comment authorId="0" ref="T28">
      <text>
        <t xml:space="preserve">Responder updated this value.</t>
      </text>
    </comment>
    <comment authorId="0" ref="F12">
      <text>
        <t xml:space="preserve">Responder updated this value.</t>
      </text>
    </comment>
    <comment authorId="0" ref="H12">
      <text>
        <t xml:space="preserve">Responder updated this value.</t>
      </text>
    </comment>
    <comment authorId="0" ref="AI36">
      <text>
        <t xml:space="preserve">Responder updated this value.</t>
      </text>
    </comment>
    <comment authorId="0" ref="L12">
      <text>
        <t xml:space="preserve">Responder updated this value.</t>
      </text>
    </comment>
    <comment authorId="0" ref="P16">
      <text>
        <t xml:space="preserve">Responder updated this value.</t>
      </text>
    </comment>
    <comment authorId="0" ref="AJ36">
      <text>
        <t xml:space="preserve">Responder updated this value.</t>
      </text>
    </comment>
    <comment authorId="0" ref="M12">
      <text>
        <t xml:space="preserve">Responder updated this value.</t>
      </text>
    </comment>
    <comment authorId="0" ref="O12">
      <text>
        <t xml:space="preserve">Responder updated this value.</t>
      </text>
    </comment>
    <comment authorId="0" ref="P12">
      <text>
        <t xml:space="preserve">Responder updated this value.</t>
      </text>
    </comment>
    <comment authorId="0" ref="R12">
      <text>
        <t xml:space="preserve">Responder updated this value.</t>
      </text>
    </comment>
    <comment authorId="0" ref="AI28">
      <text>
        <t xml:space="preserve">Responder updated this value.</t>
      </text>
    </comment>
    <comment authorId="0" ref="T12">
      <text>
        <t xml:space="preserve">Responder updated this value.</t>
      </text>
    </comment>
    <comment authorId="0" ref="V12">
      <text>
        <t xml:space="preserve">Responder updated this value.</t>
      </text>
    </comment>
    <comment authorId="0" ref="W12">
      <text>
        <t xml:space="preserve">Responder updated this value.</t>
      </text>
    </comment>
    <comment authorId="0" ref="X12">
      <text>
        <t xml:space="preserve">Responder updated this value.</t>
      </text>
    </comment>
    <comment authorId="0" ref="Y12">
      <text>
        <t xml:space="preserve">Responder updated this value.</t>
      </text>
    </comment>
    <comment authorId="0" ref="R4">
      <text>
        <t xml:space="preserve">Responder updated this value.</t>
      </text>
    </comment>
    <comment authorId="0" ref="Z12">
      <text>
        <t xml:space="preserve">Responder updated this value.</t>
      </text>
    </comment>
    <comment authorId="0" ref="AA12">
      <text>
        <t xml:space="preserve">Responder updated this value.</t>
      </text>
    </comment>
    <comment authorId="0" ref="AB12">
      <text>
        <t xml:space="preserve">Responder updated this value.</t>
      </text>
    </comment>
    <comment authorId="0" ref="AC12">
      <text>
        <t xml:space="preserve">Responder updated this value.</t>
      </text>
    </comment>
    <comment authorId="0" ref="AD12">
      <text>
        <t xml:space="preserve">Responder updated this value.</t>
      </text>
    </comment>
    <comment authorId="0" ref="AE12">
      <text>
        <t xml:space="preserve">Responder updated this value.</t>
      </text>
    </comment>
    <comment authorId="0" ref="AI16">
      <text>
        <t xml:space="preserve">Responder updated this value.</t>
      </text>
    </comment>
    <comment authorId="0" ref="AF12">
      <text>
        <t xml:space="preserve">Responder updated this value.</t>
      </text>
    </comment>
    <comment authorId="0" ref="AG12">
      <text>
        <t xml:space="preserve">Responder updated this value.</t>
      </text>
    </comment>
    <comment authorId="0" ref="R29">
      <text>
        <t xml:space="preserve">Responder updated this value.</t>
      </text>
    </comment>
    <comment authorId="0" ref="AI12">
      <text>
        <t xml:space="preserve">Responder updated this value.</t>
      </text>
    </comment>
    <comment authorId="0" ref="AJ12">
      <text>
        <t xml:space="preserve">Responder updated this value.</t>
      </text>
    </comment>
    <comment authorId="0" ref="C38">
      <text>
        <t xml:space="preserve">Responder updated this value.</t>
      </text>
    </comment>
    <comment authorId="0" ref="D38">
      <text>
        <t xml:space="preserve">Responder updated this value.</t>
      </text>
    </comment>
    <comment authorId="0" ref="AI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<sst xmlns="http://schemas.openxmlformats.org/spreadsheetml/2006/main" count="590" uniqueCount="366">
  <si>
    <t>DETAILS</t>
  </si>
  <si>
    <t>FILL THE COLUMNS ONLY</t>
  </si>
  <si>
    <t>FILL COLUMNS</t>
  </si>
  <si>
    <t>MONTH</t>
  </si>
  <si>
    <t>IT WITH CESS</t>
  </si>
  <si>
    <t>NAME OF THE EMPLOYEE</t>
  </si>
  <si>
    <t>Kannan M</t>
  </si>
  <si>
    <t>MARCH BASIC PAY</t>
  </si>
  <si>
    <t xml:space="preserve">MARCH </t>
  </si>
  <si>
    <t xml:space="preserve">INCOME  TAX    CALCULATION   STATEMENT                                       </t>
  </si>
  <si>
    <t>SEX OF THE EMPLOYEE</t>
  </si>
  <si>
    <t>MALE</t>
  </si>
  <si>
    <t>INCREMENT MONTH</t>
  </si>
  <si>
    <t>APRIL</t>
  </si>
  <si>
    <t>TESTF</t>
  </si>
  <si>
    <t>DESIGNATION OF THE EMPLOYEE</t>
  </si>
  <si>
    <t>S..G.TEACHER</t>
  </si>
  <si>
    <t>PP for S.G. Trs</t>
  </si>
  <si>
    <t>MAY</t>
  </si>
  <si>
    <t>PAN NUMBER OF THE EMPLOYEE</t>
  </si>
  <si>
    <t>Bwxpk2482a</t>
  </si>
  <si>
    <t>PONGAL BONUS</t>
  </si>
  <si>
    <t>JUNE</t>
  </si>
  <si>
    <t>FOUR TYPES OF HOUSE RENT ALLOWANCES</t>
  </si>
  <si>
    <t>TAN NUMBER OF THE EMPLOYEE</t>
  </si>
  <si>
    <t>MRIA01163B</t>
  </si>
  <si>
    <r>
      <rPr>
        <rFont val="Calibri"/>
        <b/>
        <color theme="1"/>
        <sz val="10.0"/>
      </rPr>
      <t xml:space="preserve">SURRENDER MONTH           </t>
    </r>
    <r>
      <rPr>
        <rFont val="Calibri"/>
        <b/>
        <color theme="1"/>
        <sz val="12.0"/>
      </rPr>
      <t>(0,10,11,12,1)</t>
    </r>
  </si>
  <si>
    <t>JULY</t>
  </si>
  <si>
    <t>MOBILE NUMBER</t>
  </si>
  <si>
    <t>IF HRA   850, PUT -1                   IF HRA 2200, PUT -2                          IF HRA 3200, PUT -3                          IF HRA 4300, PUT -4            IF HRA 8300 TYPE- 5</t>
  </si>
  <si>
    <t>Chennai</t>
  </si>
  <si>
    <t>AUGUST</t>
  </si>
  <si>
    <t>SCHOOL NAME OF THE EMPLOYEE</t>
  </si>
  <si>
    <t>P.U.PRIMARY SCHOOL,</t>
  </si>
  <si>
    <t>SEPTEMBER</t>
  </si>
  <si>
    <t>SCHOOL TYPE  OF THE EMPLOYEE</t>
  </si>
  <si>
    <t>OCTOBER</t>
  </si>
  <si>
    <t xml:space="preserve">PLACE OF THE SCHOOL </t>
  </si>
  <si>
    <t>SEVALKULAM</t>
  </si>
  <si>
    <t>IF CCA (Except Chennai) -1                    IF  CCA for CHENNAI      - 2</t>
  </si>
  <si>
    <t>NOVEMBER</t>
  </si>
  <si>
    <t>OFFICE OF THE EMPLOYEE</t>
  </si>
  <si>
    <t>BEO OFFICE, KURUVIKULAM</t>
  </si>
  <si>
    <t>DA ARREARS - 1</t>
  </si>
  <si>
    <t>DECEMBER</t>
  </si>
  <si>
    <t>FINANCIAL YEAR</t>
  </si>
  <si>
    <t>DA ARREARS - 2</t>
  </si>
  <si>
    <t>JANUARY</t>
  </si>
  <si>
    <t>ASSESSMENT YEAR</t>
  </si>
  <si>
    <t>NEXT BASIC</t>
  </si>
  <si>
    <t>Selection / Special Grade arrears</t>
  </si>
  <si>
    <t>Increments</t>
  </si>
  <si>
    <t>DA</t>
  </si>
  <si>
    <t>https://forms.gle/YD9XKzXddFjjTuKXA</t>
  </si>
  <si>
    <t>HRA</t>
  </si>
  <si>
    <t>pp surrender</t>
  </si>
  <si>
    <t>Spl. abled Persons trans. allowance</t>
  </si>
  <si>
    <t>Selection / Special Grade New pay</t>
  </si>
  <si>
    <t>Stricke month</t>
  </si>
  <si>
    <t>Timestamp</t>
  </si>
  <si>
    <t>Strick days</t>
  </si>
  <si>
    <t>Email Address</t>
  </si>
  <si>
    <t>NAME</t>
  </si>
  <si>
    <t>SEX</t>
  </si>
  <si>
    <t>DESIGNATION</t>
  </si>
  <si>
    <t>INCOME TAX CALCULATION</t>
  </si>
  <si>
    <t>PAN NUMBER</t>
  </si>
  <si>
    <t>TAN NUMBER</t>
  </si>
  <si>
    <t>Phone number</t>
  </si>
  <si>
    <t>SCHOOL TYPE</t>
  </si>
  <si>
    <t>SCHOOL NAME</t>
  </si>
  <si>
    <t>OFFICE ADDRESS</t>
  </si>
  <si>
    <t>PP</t>
  </si>
  <si>
    <t>PP SURRENDER</t>
  </si>
  <si>
    <t>BONUS</t>
  </si>
  <si>
    <t>PAN NUNBER</t>
  </si>
  <si>
    <t xml:space="preserve">BASIC PAY </t>
  </si>
  <si>
    <t>CCA</t>
  </si>
  <si>
    <t xml:space="preserve">HRA  </t>
  </si>
  <si>
    <t>Specially abled Persons transport allowance</t>
  </si>
  <si>
    <t>SURRENDER</t>
  </si>
  <si>
    <t>SELECTION GRADE OR SPECIAL GRADE</t>
  </si>
  <si>
    <t xml:space="preserve">DA </t>
  </si>
  <si>
    <t>SELECTION GRADE OR SPECIAL GRADE 2</t>
  </si>
  <si>
    <t>BASIC PAY</t>
  </si>
  <si>
    <t>IT ADVANCE  - MARCH -2025</t>
  </si>
  <si>
    <t>IT ADVANCE  - APRIL-2025</t>
  </si>
  <si>
    <t>OA</t>
  </si>
  <si>
    <t>IT ADVANCE  - MAY-2025</t>
  </si>
  <si>
    <t>IT ADVANCE  - JUNE</t>
  </si>
  <si>
    <t>MA</t>
  </si>
  <si>
    <t>IT ADVANCE  - JULY</t>
  </si>
  <si>
    <t>Spl. abled Person Allowance</t>
  </si>
  <si>
    <t>IT ADVANCE  - AUGUEST</t>
  </si>
  <si>
    <t>GROSS</t>
  </si>
  <si>
    <t>IT ADVANCE  - SEPTEMBER</t>
  </si>
  <si>
    <t>IT 
Ded</t>
  </si>
  <si>
    <t>IT ADVANCE  - OCTOBER</t>
  </si>
  <si>
    <t>IT ADVANCE  - NOVEMBER</t>
  </si>
  <si>
    <t>IT ADVANCE  - DECEMBER</t>
  </si>
  <si>
    <t>IT ADVANCE  - JANUARY - 2026</t>
  </si>
  <si>
    <t xml:space="preserve">WHATSAPP  NUMBER </t>
  </si>
  <si>
    <t>STRIKE MONTH</t>
  </si>
  <si>
    <t>ஸ்ட்ரைகில் இருந்த நாட்கள் எண்ணிக்கை மட்டும்</t>
  </si>
  <si>
    <t>ctkselvaa@gmail.com</t>
  </si>
  <si>
    <t>SELVAKUMAR</t>
  </si>
  <si>
    <t>Avtps5522p</t>
  </si>
  <si>
    <t>Che</t>
  </si>
  <si>
    <t>Kottai</t>
  </si>
  <si>
    <t xml:space="preserve">Marungapuri </t>
  </si>
  <si>
    <t xml:space="preserve">SEX                           </t>
  </si>
  <si>
    <t>CELL No.</t>
  </si>
  <si>
    <t>SENT</t>
  </si>
  <si>
    <t>smk86be@gmail.com</t>
  </si>
  <si>
    <t>THATANI P</t>
  </si>
  <si>
    <t>%</t>
  </si>
  <si>
    <t>FEMALE</t>
  </si>
  <si>
    <t xml:space="preserve">AJLPT8545P </t>
  </si>
  <si>
    <t>CHEA06504B</t>
  </si>
  <si>
    <t>PANAYAPURAM</t>
  </si>
  <si>
    <t xml:space="preserve">VIKRAVANDI </t>
  </si>
  <si>
    <t>trgeeteedee1988@gmail.com</t>
  </si>
  <si>
    <t>T.GEETHA</t>
  </si>
  <si>
    <t>BMIPG8243A</t>
  </si>
  <si>
    <t>CHEA11142F</t>
  </si>
  <si>
    <t>THENNAMPATTU</t>
  </si>
  <si>
    <t xml:space="preserve">BEO OFFICE, VEMBAKKAM </t>
  </si>
  <si>
    <t xml:space="preserve">OFFICE / SCHOOL      </t>
  </si>
  <si>
    <t>raja.hill67@gmail.com</t>
  </si>
  <si>
    <t>Raja</t>
  </si>
  <si>
    <t>HEADMASTER</t>
  </si>
  <si>
    <t xml:space="preserve">AFYPR4036G </t>
  </si>
  <si>
    <t>-</t>
  </si>
  <si>
    <t xml:space="preserve">Trichy </t>
  </si>
  <si>
    <t>23/A, sannathi street, Irudhayapuram,
Palakkarai, Trichy-01</t>
  </si>
  <si>
    <t>Apr</t>
  </si>
  <si>
    <t>rasuselvarasu5@gmail.com</t>
  </si>
  <si>
    <t>Selvarasu K</t>
  </si>
  <si>
    <t>.</t>
  </si>
  <si>
    <t>GROSS SALARY</t>
  </si>
  <si>
    <t>B.T.ASST</t>
  </si>
  <si>
    <t>BSBPS8703A</t>
  </si>
  <si>
    <t>CHEA</t>
  </si>
  <si>
    <t>Rs.</t>
  </si>
  <si>
    <t>P.U.MIDDLE SCHOOL,</t>
  </si>
  <si>
    <t>Kodungaiyur</t>
  </si>
  <si>
    <t>Todiarpet</t>
  </si>
  <si>
    <t>saipands2024@gmail.com</t>
  </si>
  <si>
    <t>A.PANDIMUNIYAMMAL</t>
  </si>
  <si>
    <t>CEHPP2328P</t>
  </si>
  <si>
    <t>Corporation middle school, Melavasal No:2,Madurai</t>
  </si>
  <si>
    <t xml:space="preserve">Corporation office, Educational Department, Madurai </t>
  </si>
  <si>
    <t>May</t>
  </si>
  <si>
    <t>STANDARD DEDECTION</t>
  </si>
  <si>
    <t>avmathi34@gmail.com</t>
  </si>
  <si>
    <t>A.ILAMATHI</t>
  </si>
  <si>
    <t>ACYPI2210C</t>
  </si>
  <si>
    <t>CHEA14148B</t>
  </si>
  <si>
    <t>SAMIYADIKUCHIPALAYAM</t>
  </si>
  <si>
    <t>BEO OFFICE,VIKKIRAVANDI</t>
  </si>
  <si>
    <t>Jun</t>
  </si>
  <si>
    <t>Specially abled Persons trans. allowance</t>
  </si>
  <si>
    <t>amjose87@gmail.com</t>
  </si>
  <si>
    <t xml:space="preserve">A.M.JOSE  </t>
  </si>
  <si>
    <t>AVPPJ0637E</t>
  </si>
  <si>
    <t>CHEA14610B</t>
  </si>
  <si>
    <t>SIRUVALAI</t>
  </si>
  <si>
    <t>BEO OFFICE ,KANAI</t>
  </si>
  <si>
    <t>dhanalakshmi631981@gmail.com</t>
  </si>
  <si>
    <t>DHANALAKSHMI T</t>
  </si>
  <si>
    <t>BZPPD1152F</t>
  </si>
  <si>
    <t>CMBB05500F</t>
  </si>
  <si>
    <t xml:space="preserve">PALAVANJIPALAYAM </t>
  </si>
  <si>
    <t xml:space="preserve">BEO OFFICE, TIRUPUR SOUTH </t>
  </si>
  <si>
    <t>Jul</t>
  </si>
  <si>
    <t>TOTAL DEDUCTION</t>
  </si>
  <si>
    <t>velraknaas@gmail.com</t>
  </si>
  <si>
    <t xml:space="preserve">V.SANKARAPANDIAN </t>
  </si>
  <si>
    <t>BUWPS43267</t>
  </si>
  <si>
    <t>MARIA01937F</t>
  </si>
  <si>
    <t>GOVT.HIGHER SEC. SCHOOL,</t>
  </si>
  <si>
    <t>Madurai corp</t>
  </si>
  <si>
    <t xml:space="preserve">Govt school </t>
  </si>
  <si>
    <t>Aug</t>
  </si>
  <si>
    <t>TOTAL TAXABLE SALARY INCOME  [1-4]</t>
  </si>
  <si>
    <t>chokkikulamcps@gmail.com</t>
  </si>
  <si>
    <t>R.VANITHAMANI</t>
  </si>
  <si>
    <t>AEAPV2650K</t>
  </si>
  <si>
    <t>MRIA01937F</t>
  </si>
  <si>
    <t xml:space="preserve">CORPORATION PRIMARY SCHOOL,CHOKKIKULAM </t>
  </si>
  <si>
    <t>MADURAI CORPORATION</t>
  </si>
  <si>
    <t>Sep</t>
  </si>
  <si>
    <t>TABLE   -  2             TAX  CALCULATION</t>
  </si>
  <si>
    <t>msubalakshmi1205@gmail.com</t>
  </si>
  <si>
    <t>M.SUBALAKSHMI</t>
  </si>
  <si>
    <t>FPNPS6555H</t>
  </si>
  <si>
    <t>CHEA15725D</t>
  </si>
  <si>
    <t>NANNADU</t>
  </si>
  <si>
    <t>BEO OFFICE, KOLIYANUR.</t>
  </si>
  <si>
    <t>Oct</t>
  </si>
  <si>
    <t xml:space="preserve">TAXABLE INCOME </t>
  </si>
  <si>
    <t>kavipalani510@gmail.com</t>
  </si>
  <si>
    <t>Kavitha.S</t>
  </si>
  <si>
    <t>BNGPK2385C</t>
  </si>
  <si>
    <t>MRIN01937F</t>
  </si>
  <si>
    <t>South Veli Street no-1</t>
  </si>
  <si>
    <t xml:space="preserve">CORPORATION </t>
  </si>
  <si>
    <t>Nov</t>
  </si>
  <si>
    <t xml:space="preserve"> (i)      Upto 400000 /-</t>
  </si>
  <si>
    <t>NIL</t>
  </si>
  <si>
    <t>rrajathybagyavathi@gmail.com</t>
  </si>
  <si>
    <t>Rajathy BAGYAVATHY</t>
  </si>
  <si>
    <t xml:space="preserve"> AKGPR2536J</t>
  </si>
  <si>
    <t>South veli street</t>
  </si>
  <si>
    <t>Corporation</t>
  </si>
  <si>
    <t>Dec</t>
  </si>
  <si>
    <t>(ii)     400001 -   800000         5%</t>
  </si>
  <si>
    <t>kathirkathir13893@gmail.com</t>
  </si>
  <si>
    <t>KALEESWARI C</t>
  </si>
  <si>
    <t>BEKPK9225E</t>
  </si>
  <si>
    <t>MRINO1937F</t>
  </si>
  <si>
    <t>South Veli Street No -1</t>
  </si>
  <si>
    <t>Jan</t>
  </si>
  <si>
    <t>(iii)   800001 -  1200000        10%</t>
  </si>
  <si>
    <t>mukeshsuvi@gmail.com</t>
  </si>
  <si>
    <t>NagalakshmiN</t>
  </si>
  <si>
    <t>ACPPN2264C</t>
  </si>
  <si>
    <t>MRIAN01937F</t>
  </si>
  <si>
    <t>Southveli street</t>
  </si>
  <si>
    <t>Feb</t>
  </si>
  <si>
    <t>(iv) 1200001 - 1600000          15%</t>
  </si>
  <si>
    <t>malarravikumar69@gmail.com</t>
  </si>
  <si>
    <t>Malarvizhi M</t>
  </si>
  <si>
    <t>AJDPM5895R</t>
  </si>
  <si>
    <t>TOTAL</t>
  </si>
  <si>
    <t xml:space="preserve">Southveli street </t>
  </si>
  <si>
    <t xml:space="preserve">Corporation </t>
  </si>
  <si>
    <t xml:space="preserve"> (v) 1600001 - 2000000          20%</t>
  </si>
  <si>
    <t>DA-1</t>
  </si>
  <si>
    <t>(vi) 2000001 - 2400000          25%</t>
  </si>
  <si>
    <t xml:space="preserve">DA Arrears  1 </t>
  </si>
  <si>
    <t>kalamani672@gmail.com</t>
  </si>
  <si>
    <t>KALAMANI A</t>
  </si>
  <si>
    <t xml:space="preserve"> BCBPK7981E</t>
  </si>
  <si>
    <t>MIRNO1937F</t>
  </si>
  <si>
    <t>SOUTH VELI STREET NO -1</t>
  </si>
  <si>
    <t>(vii)  2400004 and above     30%</t>
  </si>
  <si>
    <t>DA Arrears  2</t>
  </si>
  <si>
    <t>TOTAL TAX</t>
  </si>
  <si>
    <t>Surrender</t>
  </si>
  <si>
    <t>nagajothi.ng@gmail.com</t>
  </si>
  <si>
    <t>NAGAJOTHI P</t>
  </si>
  <si>
    <t>ATFPN8198Q</t>
  </si>
  <si>
    <t>SOUTH VELI STREET NO-1</t>
  </si>
  <si>
    <t>CORPORATION</t>
  </si>
  <si>
    <t>00</t>
  </si>
  <si>
    <t>Less : Tax Rebate U/S 87A  (Marginal Relief)</t>
  </si>
  <si>
    <t>Prom/Slec/spl Gr Arr</t>
  </si>
  <si>
    <t>marasumani69@gmail.com</t>
  </si>
  <si>
    <t>M.ARASUMANI</t>
  </si>
  <si>
    <t>Marginal Relief Tax Upto Rs.70500/-</t>
  </si>
  <si>
    <t>ADDPA7445G</t>
  </si>
  <si>
    <t xml:space="preserve">MADURAI </t>
  </si>
  <si>
    <t>DA-2</t>
  </si>
  <si>
    <t xml:space="preserve">MADURAI CORPORATION </t>
  </si>
  <si>
    <t>ADD : EDUCATIONAL CESS (4%)</t>
  </si>
  <si>
    <t>*</t>
  </si>
  <si>
    <t>kannanprabha1969@gmail.com</t>
  </si>
  <si>
    <t>KANNAN D</t>
  </si>
  <si>
    <t>ALDPK0861F</t>
  </si>
  <si>
    <t xml:space="preserve">South veli street </t>
  </si>
  <si>
    <t>TAX PAYABLE  [6 or 7 + 8]</t>
  </si>
  <si>
    <t>+</t>
  </si>
  <si>
    <t>Surrender DA</t>
  </si>
  <si>
    <t xml:space="preserve">Tax so far Deducted  (TDS)   </t>
  </si>
  <si>
    <t>teacherpunitha12@gmail.com</t>
  </si>
  <si>
    <t>A. PUNITHA</t>
  </si>
  <si>
    <t>ATLPP9565</t>
  </si>
  <si>
    <t>MARI01937F</t>
  </si>
  <si>
    <t>MADURAI</t>
  </si>
  <si>
    <t>TAX REFUND  (TAX OVER DEDUCTION)</t>
  </si>
  <si>
    <t>vragav12@gmail.com</t>
  </si>
  <si>
    <t>M.VIJAYARAGAVAN</t>
  </si>
  <si>
    <t xml:space="preserve">    SIGNATURE OF INDIVIDUAL                              SIGNATURE OF HEAD OFFICE</t>
  </si>
  <si>
    <t>APYPV7063D</t>
  </si>
  <si>
    <t>CHEA06551G</t>
  </si>
  <si>
    <t>Normal Tax</t>
  </si>
  <si>
    <t xml:space="preserve">ANBIL </t>
  </si>
  <si>
    <t xml:space="preserve">BEO OFFICE, LALGUDI </t>
  </si>
  <si>
    <t>vidyadarshu087@gmail.com</t>
  </si>
  <si>
    <t xml:space="preserve">M. Nagalakshmi </t>
  </si>
  <si>
    <t>AVFPN0962Q</t>
  </si>
  <si>
    <t>CHEA06501F</t>
  </si>
  <si>
    <t xml:space="preserve">Thiruvalarsolai </t>
  </si>
  <si>
    <t xml:space="preserve">Pups Thiruvalarsolai </t>
  </si>
  <si>
    <t>bagyaramm1411@gmail.com</t>
  </si>
  <si>
    <t>M.BAGYALAKSHMI</t>
  </si>
  <si>
    <t>BASPB5561Q</t>
  </si>
  <si>
    <t xml:space="preserve">AGALANGANALLUR </t>
  </si>
  <si>
    <t>rojamathik@gmail.com</t>
  </si>
  <si>
    <t>Marginal Relief Tax</t>
  </si>
  <si>
    <t>ROJAMATHI.K</t>
  </si>
  <si>
    <t>BKPPR5092B</t>
  </si>
  <si>
    <t>PUDHUR UTHAMANUR</t>
  </si>
  <si>
    <t>BEO OFFICE, LALGUDI</t>
  </si>
  <si>
    <t>ruckmaniruckmani147@gmail.com</t>
  </si>
  <si>
    <t>RUCKMANI.K</t>
  </si>
  <si>
    <t>BMGPR4568B</t>
  </si>
  <si>
    <t>CHEO02881E</t>
  </si>
  <si>
    <t xml:space="preserve">VALADI WEST </t>
  </si>
  <si>
    <t xml:space="preserve">BEO OFFICE LALGUDI </t>
  </si>
  <si>
    <t>PAY</t>
  </si>
  <si>
    <t>SA</t>
  </si>
  <si>
    <t>vinothpaul1984@gmail.com</t>
  </si>
  <si>
    <t>D.PAULINE</t>
  </si>
  <si>
    <t>BFDPP1551G</t>
  </si>
  <si>
    <t>Balance Tax &amp; Cess</t>
  </si>
  <si>
    <t>Corporation Primary School, Munichalai, Madurai</t>
  </si>
  <si>
    <t>CORPORATION EDUCATIONAL OFFICE</t>
  </si>
  <si>
    <t>ttjanandhi@gmail.com</t>
  </si>
  <si>
    <t>ANNADHI ,J</t>
  </si>
  <si>
    <t>BFOPA4917E</t>
  </si>
  <si>
    <t xml:space="preserve">THENGAL </t>
  </si>
  <si>
    <t>santhoshnaveen385@gmail.com</t>
  </si>
  <si>
    <t>DURGA DEVI.P</t>
  </si>
  <si>
    <t>BOVPD4856D</t>
  </si>
  <si>
    <t xml:space="preserve">SHENOY NAGAR </t>
  </si>
  <si>
    <t xml:space="preserve">Madurai corporation </t>
  </si>
  <si>
    <t>emharish15@gmail.com</t>
  </si>
  <si>
    <t>MARIAMMAL k</t>
  </si>
  <si>
    <t xml:space="preserve">CRUPM4226P </t>
  </si>
  <si>
    <t xml:space="preserve">Kottiyampoondi </t>
  </si>
  <si>
    <t>BEO OFFICE,  VIKRAVANDI</t>
  </si>
  <si>
    <t>jeyavanibala@gmail.com</t>
  </si>
  <si>
    <t>JEYAVANI.P</t>
  </si>
  <si>
    <t>AOMPJ3529H</t>
  </si>
  <si>
    <t>Manjanakkara corporation primary school</t>
  </si>
  <si>
    <t>selvapreethi8@gmail.com</t>
  </si>
  <si>
    <t xml:space="preserve">Selvakumar Muthusamy </t>
  </si>
  <si>
    <t>CNLPS1925G</t>
  </si>
  <si>
    <t xml:space="preserve">Melaiyanpatti </t>
  </si>
  <si>
    <t xml:space="preserve">BEO,THIRUPATHUR </t>
  </si>
  <si>
    <t>rksirbsm@gmail.com</t>
  </si>
  <si>
    <t>SARANYA.K</t>
  </si>
  <si>
    <t>EICPS0563N</t>
  </si>
  <si>
    <t>CHEAO6504B</t>
  </si>
  <si>
    <t>Udaiyakulampudur</t>
  </si>
  <si>
    <t>BEO OFFICE THOTTIYAM</t>
  </si>
  <si>
    <t>kanniyappanezhumalai@gmail.com</t>
  </si>
  <si>
    <t>SUMATHI.E</t>
  </si>
  <si>
    <t>FMPPS9286C</t>
  </si>
  <si>
    <t>CHEA144448A</t>
  </si>
  <si>
    <t xml:space="preserve">PUPS  METTUNATHAM </t>
  </si>
  <si>
    <t>BEO ,MAILAM</t>
  </si>
  <si>
    <t>rejulawilson@gmail.com</t>
  </si>
  <si>
    <t>KAVITHA J</t>
  </si>
  <si>
    <t>AGNPR13493</t>
  </si>
  <si>
    <t>CMBG07083G</t>
  </si>
  <si>
    <t>GOVT.HIGH SCHOOL,</t>
  </si>
  <si>
    <t xml:space="preserve">KUNIYAMUTHUR </t>
  </si>
  <si>
    <t>GHS</t>
  </si>
  <si>
    <t>emm.kannan86@gmail.com</t>
  </si>
  <si>
    <t>emm.saravanakannan86@gmail.com</t>
  </si>
  <si>
    <t>REBECCA C</t>
  </si>
  <si>
    <t>AUDPR2240N</t>
  </si>
  <si>
    <t xml:space="preserve">BEO OFFICE, KURUVIKULAM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</si>
</sst>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9">
    <font>
      <sz val="10.0"/>
      <color rgb="FF000000"/>
      <name val="Arial"/>
      <scheme val="minor"/>
    </font>
    <font>
      <b/>
      <sz val="11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sz val="12.0"/>
      <color rgb="FFFFFF00"/>
      <name val="Arial"/>
    </font>
    <font>
      <b/>
      <sz val="12.0"/>
      <color theme="1"/>
      <name val="Arial"/>
    </font>
    <font>
      <b/>
      <sz val="14.0"/>
      <color rgb="FFEFEFEF"/>
      <name val="Arial"/>
    </font>
    <font>
      <sz val="10.0"/>
      <color theme="1"/>
      <name val="Calibri"/>
    </font>
    <font/>
    <font>
      <b/>
      <sz val="10.0"/>
      <color theme="1"/>
      <name val="Calibri"/>
    </font>
    <font>
      <sz val="11.0"/>
      <color rgb="FF000000"/>
      <name val="Calibri"/>
    </font>
    <font>
      <b/>
      <sz val="14.0"/>
      <color rgb="FFFFFF00"/>
      <name val="Arial"/>
    </font>
    <font>
      <b/>
      <sz val="9.0"/>
      <color theme="1"/>
      <name val="Calibri"/>
    </font>
    <font>
      <b/>
      <sz val="11.0"/>
      <color rgb="FFFFFF00"/>
      <name val="Arial"/>
    </font>
    <font>
      <b/>
      <sz val="8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rgb="FF0C0C0C"/>
      <name val="Calibri"/>
    </font>
    <font>
      <sz val="11.0"/>
      <color theme="1"/>
      <name val="Arial"/>
    </font>
    <font>
      <b/>
      <sz val="11.0"/>
      <color rgb="FF000000"/>
      <name val="Calibri"/>
    </font>
    <font>
      <b/>
      <sz val="16.0"/>
      <color rgb="FFFFFF00"/>
      <name val="Calibri"/>
    </font>
    <font>
      <b/>
      <sz val="12.0"/>
      <color rgb="FFFFFF00"/>
      <name val="Calibri"/>
    </font>
    <font>
      <b/>
      <sz val="8.0"/>
      <color theme="1"/>
      <name val="Arial"/>
    </font>
    <font>
      <sz val="8.0"/>
      <color theme="1"/>
      <name val="Calibri"/>
    </font>
    <font>
      <b/>
      <sz val="7.0"/>
      <color theme="1"/>
      <name val="Calibri"/>
    </font>
    <font>
      <sz val="9.0"/>
      <color theme="1"/>
      <name val="Calibri"/>
    </font>
    <font>
      <sz val="11.0"/>
      <color rgb="FF000000"/>
      <name val="Arial"/>
    </font>
    <font>
      <b/>
      <sz val="10.0"/>
      <color theme="1"/>
      <name val="Arial"/>
    </font>
    <font>
      <sz val="10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AEABAB"/>
        <bgColor rgb="FFAEABAB"/>
      </patternFill>
    </fill>
    <fill>
      <patternFill patternType="solid">
        <fgColor rgb="FF2E75B5"/>
        <bgColor rgb="FF2E75B5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A9D08E"/>
        <bgColor rgb="FFA9D08E"/>
      </patternFill>
    </fill>
    <fill>
      <patternFill patternType="solid">
        <fgColor rgb="FFD0CECE"/>
        <bgColor rgb="FFD0CECE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D6DCE4"/>
        <bgColor rgb="FFD6DCE4"/>
      </patternFill>
    </fill>
    <fill>
      <patternFill patternType="solid">
        <fgColor rgb="FFFFD965"/>
        <bgColor rgb="FFFFD965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readingOrder="0" vertical="center"/>
    </xf>
    <xf borderId="0" fillId="0" fontId="5" numFmtId="0" xfId="0" applyAlignment="1" applyFont="1">
      <alignment horizontal="right" vertical="center"/>
    </xf>
    <xf borderId="1" fillId="6" fontId="3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top"/>
    </xf>
    <xf borderId="0" fillId="0" fontId="7" numFmtId="0" xfId="0" applyFont="1"/>
    <xf borderId="2" fillId="0" fontId="3" numFmtId="0" xfId="0" applyAlignment="1" applyBorder="1" applyFont="1">
      <alignment horizontal="center"/>
    </xf>
    <xf borderId="3" fillId="0" fontId="8" numFmtId="0" xfId="0" applyBorder="1" applyFont="1"/>
    <xf borderId="1" fillId="3" fontId="9" numFmtId="0" xfId="0" applyAlignment="1" applyBorder="1" applyFill="1" applyFont="1">
      <alignment shrinkToFit="0" vertical="center" wrapText="1"/>
    </xf>
    <xf borderId="4" fillId="0" fontId="8" numFmtId="0" xfId="0" applyBorder="1" applyFont="1"/>
    <xf borderId="5" fillId="6" fontId="3" numFmtId="0" xfId="0" applyAlignment="1" applyBorder="1" applyFill="1" applyFont="1">
      <alignment horizontal="left" shrinkToFit="0" vertical="center" wrapText="1"/>
    </xf>
    <xf borderId="6" fillId="7" fontId="10" numFmtId="0" xfId="0" applyAlignment="1" applyBorder="1" applyFill="1" applyFont="1">
      <alignment horizontal="center"/>
    </xf>
    <xf borderId="5" fillId="4" fontId="11" numFmtId="0" xfId="0" applyAlignment="1" applyBorder="1" applyFill="1" applyFont="1">
      <alignment horizontal="center" readingOrder="0" vertical="center"/>
    </xf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" fillId="4" fontId="4" numFmtId="0" xfId="0" applyAlignment="1" applyBorder="1" applyFill="1" applyFont="1">
      <alignment horizontal="center" vertical="center"/>
    </xf>
    <xf borderId="10" fillId="0" fontId="8" numFmtId="0" xfId="0" applyBorder="1" applyFont="1"/>
    <xf borderId="11" fillId="0" fontId="8" numFmtId="0" xfId="0" applyBorder="1" applyFont="1"/>
    <xf borderId="1" fillId="3" fontId="12" numFmtId="0" xfId="0" applyAlignment="1" applyBorder="1" applyFill="1" applyFont="1">
      <alignment shrinkToFit="0" vertical="center" wrapText="1"/>
    </xf>
    <xf borderId="1" fillId="4" fontId="13" numFmtId="0" xfId="0" applyAlignment="1" applyBorder="1" applyFill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12" fillId="0" fontId="8" numFmtId="0" xfId="0" applyBorder="1" applyFont="1"/>
    <xf borderId="12" fillId="0" fontId="3" numFmtId="0" xfId="0" applyAlignment="1" applyBorder="1" applyFont="1">
      <alignment horizontal="center" vertical="center"/>
    </xf>
    <xf borderId="1" fillId="0" fontId="12" numFmtId="0" xfId="0" applyAlignment="1" applyBorder="1" applyFont="1">
      <alignment shrinkToFit="0" vertical="center" wrapText="1"/>
    </xf>
    <xf borderId="1" fillId="8" fontId="14" numFmtId="0" xfId="0" applyAlignment="1" applyBorder="1" applyFill="1" applyFont="1">
      <alignment horizontal="center" vertical="center"/>
    </xf>
    <xf borderId="13" fillId="9" fontId="15" numFmtId="0" xfId="0" applyAlignment="1" applyBorder="1" applyFill="1" applyFont="1">
      <alignment horizontal="center" vertical="center"/>
    </xf>
    <xf borderId="0" fillId="0" fontId="16" numFmtId="0" xfId="0" applyFont="1"/>
    <xf borderId="14" fillId="10" fontId="15" numFmtId="0" xfId="0" applyAlignment="1" applyBorder="1" applyFill="1" applyFont="1">
      <alignment horizontal="center" vertical="center"/>
    </xf>
    <xf borderId="13" fillId="5" fontId="17" numFmtId="0" xfId="0" applyAlignment="1" applyBorder="1" applyFill="1" applyFont="1">
      <alignment horizontal="center" vertical="center"/>
    </xf>
    <xf borderId="15" fillId="0" fontId="18" numFmtId="0" xfId="0" applyBorder="1" applyFont="1"/>
    <xf borderId="16" fillId="5" fontId="17" numFmtId="0" xfId="0" applyAlignment="1" applyBorder="1" applyFill="1" applyFont="1">
      <alignment horizontal="center" vertical="center"/>
    </xf>
    <xf borderId="17" fillId="0" fontId="18" numFmtId="0" xfId="0" applyBorder="1" applyFont="1"/>
    <xf borderId="18" fillId="11" fontId="19" numFmtId="0" xfId="0" applyAlignment="1" applyBorder="1" applyFill="1" applyFont="1">
      <alignment shrinkToFit="0" wrapText="1"/>
    </xf>
    <xf borderId="16" fillId="12" fontId="17" numFmtId="0" xfId="0" applyAlignment="1" applyBorder="1" applyFill="1" applyFont="1">
      <alignment horizontal="center" readingOrder="0" vertical="center"/>
    </xf>
    <xf borderId="1" fillId="4" fontId="20" numFmtId="0" xfId="0" applyAlignment="1" applyBorder="1" applyFill="1" applyFont="1">
      <alignment readingOrder="0"/>
    </xf>
    <xf borderId="0" fillId="0" fontId="3" numFmtId="0" xfId="0" applyFont="1"/>
    <xf borderId="19" fillId="12" fontId="21" numFmtId="0" xfId="0" applyAlignment="1" applyBorder="1" applyFill="1" applyFont="1">
      <alignment readingOrder="0"/>
    </xf>
    <xf borderId="20" fillId="13" fontId="15" numFmtId="0" xfId="0" applyBorder="1" applyFill="1" applyFont="1"/>
    <xf borderId="20" fillId="10" fontId="15" numFmtId="0" xfId="0" applyBorder="1" applyFill="1" applyFont="1"/>
    <xf borderId="20" fillId="3" fontId="15" numFmtId="0" xfId="0" applyBorder="1" applyFill="1" applyFont="1"/>
    <xf borderId="0" fillId="0" fontId="16" numFmtId="0" xfId="0" applyAlignment="1" applyFont="1">
      <alignment horizontal="left" readingOrder="0" shrinkToFit="0" vertical="center" wrapText="1"/>
    </xf>
    <xf borderId="21" fillId="14" fontId="15" numFmtId="0" xfId="0" applyBorder="1" applyFill="1" applyFont="1"/>
    <xf borderId="20" fillId="14" fontId="15" numFmtId="0" xfId="0" applyBorder="1" applyFill="1" applyFont="1"/>
    <xf borderId="15" fillId="0" fontId="15" numFmtId="0" xfId="0" applyBorder="1" applyFont="1"/>
    <xf borderId="17" fillId="0" fontId="15" numFmtId="0" xfId="0" applyBorder="1" applyFont="1"/>
    <xf borderId="22" fillId="7" fontId="10" numFmtId="0" xfId="0" applyBorder="1" applyFill="1" applyFont="1"/>
    <xf borderId="0" fillId="0" fontId="10" numFmtId="0" xfId="0" applyFont="1"/>
    <xf borderId="23" fillId="0" fontId="10" numFmtId="0" xfId="0" applyBorder="1" applyFont="1"/>
    <xf borderId="24" fillId="9" fontId="15" numFmtId="0" xfId="0" applyAlignment="1" applyBorder="1" applyFill="1" applyFont="1">
      <alignment horizontal="center" vertical="center"/>
    </xf>
    <xf borderId="25" fillId="0" fontId="8" numFmtId="0" xfId="0" applyBorder="1" applyFont="1"/>
    <xf borderId="26" fillId="0" fontId="8" numFmtId="0" xfId="0" applyBorder="1" applyFont="1"/>
    <xf borderId="24" fillId="0" fontId="22" numFmtId="0" xfId="0" applyAlignment="1" applyBorder="1" applyFont="1">
      <alignment horizontal="left" vertical="center"/>
    </xf>
    <xf borderId="24" fillId="0" fontId="22" numFmtId="0" xfId="0" applyAlignment="1" applyBorder="1" applyFont="1">
      <alignment horizontal="center" vertical="center"/>
    </xf>
    <xf borderId="27" fillId="0" fontId="22" numFmtId="0" xfId="0" applyAlignment="1" applyBorder="1" applyFont="1">
      <alignment horizontal="left" shrinkToFit="0" vertical="center" wrapText="1"/>
    </xf>
    <xf borderId="28" fillId="0" fontId="8" numFmtId="0" xfId="0" applyBorder="1" applyFont="1"/>
    <xf borderId="24" fillId="0" fontId="22" numFmtId="0" xfId="0" applyAlignment="1" applyBorder="1" applyFont="1">
      <alignment horizontal="center" shrinkToFit="0" vertical="center" wrapText="1"/>
    </xf>
    <xf borderId="0" fillId="0" fontId="23" numFmtId="0" xfId="0" applyFont="1"/>
    <xf borderId="5" fillId="0" fontId="12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vertical="center"/>
    </xf>
    <xf borderId="29" fillId="0" fontId="8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5" fillId="0" fontId="24" numFmtId="0" xfId="0" applyAlignment="1" applyBorder="1" applyFont="1">
      <alignment horizontal="center" shrinkToFit="0" vertical="center" wrapText="1"/>
    </xf>
    <xf borderId="30" fillId="8" fontId="25" numFmtId="0" xfId="0" applyAlignment="1" applyBorder="1" applyFill="1" applyFont="1">
      <alignment horizontal="center"/>
    </xf>
    <xf borderId="22" fillId="9" fontId="15" numFmtId="0" xfId="0" applyBorder="1" applyFill="1" applyFont="1"/>
    <xf borderId="31" fillId="10" fontId="15" numFmtId="0" xfId="0" applyBorder="1" applyFill="1" applyFont="1"/>
    <xf borderId="0" fillId="0" fontId="18" numFmtId="0" xfId="0" applyFont="1"/>
    <xf borderId="32" fillId="0" fontId="18" numFmtId="0" xfId="0" applyBorder="1" applyFont="1"/>
    <xf borderId="31" fillId="13" fontId="15" numFmtId="0" xfId="0" applyBorder="1" applyFill="1" applyFont="1"/>
    <xf borderId="31" fillId="3" fontId="15" numFmtId="0" xfId="0" applyBorder="1" applyFill="1" applyFont="1"/>
    <xf borderId="19" fillId="14" fontId="15" numFmtId="0" xfId="0" applyBorder="1" applyFill="1" applyFont="1"/>
    <xf borderId="0" fillId="0" fontId="16" numFmtId="0" xfId="0" applyAlignment="1" applyFont="1">
      <alignment horizontal="left" readingOrder="0" shrinkToFit="0" vertical="center" wrapText="1"/>
    </xf>
    <xf borderId="31" fillId="14" fontId="15" numFmtId="0" xfId="0" applyBorder="1" applyFill="1" applyFont="1"/>
    <xf borderId="0" fillId="0" fontId="15" numFmtId="0" xfId="0" applyFont="1"/>
    <xf borderId="32" fillId="0" fontId="15" numFmtId="0" xfId="0" applyBorder="1" applyFont="1"/>
    <xf borderId="0" fillId="0" fontId="16" numFmtId="0" xfId="0" applyAlignment="1" applyFont="1">
      <alignment shrinkToFit="0" wrapText="1"/>
    </xf>
    <xf borderId="1" fillId="9" fontId="15" numFmtId="0" xfId="0" applyBorder="1" applyFill="1" applyFont="1"/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25" fillId="0" fontId="22" numFmtId="0" xfId="0" applyAlignment="1" applyBorder="1" applyFont="1">
      <alignment horizontal="center" shrinkToFit="0" vertical="center" wrapText="1"/>
    </xf>
    <xf borderId="33" fillId="0" fontId="8" numFmtId="0" xfId="0" applyBorder="1" applyFont="1"/>
    <xf borderId="34" fillId="0" fontId="8" numFmtId="0" xfId="0" applyBorder="1" applyFont="1"/>
    <xf borderId="22" fillId="8" fontId="15" numFmtId="0" xfId="0" applyBorder="1" applyFill="1" applyFont="1"/>
    <xf borderId="35" fillId="10" fontId="15" numFmtId="0" xfId="0" applyBorder="1" applyFill="1" applyFont="1"/>
    <xf borderId="23" fillId="0" fontId="10" numFmtId="0" xfId="0" applyAlignment="1" applyBorder="1" applyFont="1">
      <alignment horizontal="right"/>
    </xf>
    <xf borderId="1" fillId="9" fontId="15" numFmtId="0" xfId="0" applyAlignment="1" applyBorder="1" applyFill="1" applyFont="1">
      <alignment horizontal="center"/>
    </xf>
    <xf borderId="12" fillId="0" fontId="2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24" fillId="0" fontId="12" numFmtId="0" xfId="0" applyAlignment="1" applyBorder="1" applyFont="1">
      <alignment horizontal="left" vertical="center"/>
    </xf>
    <xf borderId="0" fillId="0" fontId="16" numFmtId="0" xfId="0" applyAlignment="1" applyFont="1">
      <alignment readingOrder="0" shrinkToFit="0" vertical="center" wrapText="0"/>
    </xf>
    <xf borderId="24" fillId="0" fontId="12" numFmtId="0" xfId="0" applyAlignment="1" applyBorder="1" applyFont="1">
      <alignment horizontal="right"/>
    </xf>
    <xf borderId="26" fillId="0" fontId="12" numFmtId="0" xfId="0" applyBorder="1" applyFont="1"/>
    <xf borderId="1" fillId="0" fontId="12" numFmtId="0" xfId="0" applyAlignment="1" applyBorder="1" applyFont="1">
      <alignment horizontal="right"/>
    </xf>
    <xf borderId="1" fillId="0" fontId="12" numFmtId="0" xfId="0" applyBorder="1" applyFont="1"/>
    <xf borderId="30" fillId="8" fontId="15" numFmtId="0" xfId="0" applyBorder="1" applyFill="1" applyFont="1"/>
    <xf borderId="0" fillId="0" fontId="16" numFmtId="0" xfId="0" applyAlignment="1" applyFont="1">
      <alignment readingOrder="0" shrinkToFit="0" vertical="center" wrapText="0"/>
    </xf>
    <xf borderId="22" fillId="7" fontId="10" numFmtId="0" xfId="0" applyAlignment="1" applyBorder="1" applyFill="1" applyFont="1">
      <alignment horizontal="right"/>
    </xf>
    <xf borderId="0" fillId="0" fontId="26" numFmtId="0" xfId="0" applyAlignment="1" applyFont="1">
      <alignment horizontal="right"/>
    </xf>
    <xf borderId="23" fillId="0" fontId="26" numFmtId="0" xfId="0" applyAlignment="1" applyBorder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Font="1"/>
    <xf borderId="28" fillId="0" fontId="2" numFmtId="0" xfId="0" applyBorder="1" applyFont="1"/>
    <xf borderId="25" fillId="0" fontId="2" numFmtId="0" xfId="0" applyBorder="1" applyFont="1"/>
    <xf borderId="0" fillId="0" fontId="25" numFmtId="0" xfId="0" applyFont="1"/>
    <xf borderId="30" fillId="8" fontId="15" numFmtId="0" xfId="0" applyAlignment="1" applyBorder="1" applyFill="1" applyFont="1">
      <alignment horizontal="center"/>
    </xf>
    <xf borderId="12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righ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25" fillId="0" fontId="2" numFmtId="0" xfId="0" applyAlignment="1" applyBorder="1" applyFont="1">
      <alignment vertical="center"/>
    </xf>
    <xf borderId="25" fillId="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24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right" vertical="center"/>
    </xf>
    <xf borderId="26" fillId="0" fontId="2" numFmtId="1" xfId="0" applyAlignment="1" applyBorder="1" applyFont="1" applyNumberFormat="1">
      <alignment horizontal="right" vertical="center"/>
    </xf>
    <xf borderId="24" fillId="0" fontId="22" numFmtId="0" xfId="0" applyAlignment="1" applyBorder="1" applyFont="1">
      <alignment horizontal="left"/>
    </xf>
    <xf borderId="24" fillId="0" fontId="22" numFmtId="1" xfId="0" applyAlignment="1" applyBorder="1" applyFont="1" applyNumberFormat="1">
      <alignment horizontal="center" vertical="center"/>
    </xf>
    <xf borderId="25" fillId="0" fontId="22" numFmtId="0" xfId="0" applyAlignment="1" applyBorder="1" applyFont="1">
      <alignment horizontal="right" vertical="center"/>
    </xf>
    <xf borderId="26" fillId="0" fontId="22" numFmtId="0" xfId="0" applyAlignment="1" applyBorder="1" applyFont="1">
      <alignment horizontal="right" vertical="center"/>
    </xf>
    <xf borderId="36" fillId="8" fontId="15" numFmtId="0" xfId="0" applyBorder="1" applyFill="1" applyFont="1"/>
    <xf borderId="37" fillId="9" fontId="15" numFmtId="0" xfId="0" applyBorder="1" applyFill="1" applyFont="1"/>
    <xf borderId="38" fillId="10" fontId="15" numFmtId="0" xfId="0" applyBorder="1" applyFill="1" applyFont="1"/>
    <xf borderId="39" fillId="0" fontId="18" numFmtId="0" xfId="0" applyBorder="1" applyFont="1"/>
    <xf borderId="40" fillId="0" fontId="18" numFmtId="0" xfId="0" applyBorder="1" applyFont="1"/>
    <xf borderId="38" fillId="13" fontId="15" numFmtId="0" xfId="0" applyBorder="1" applyFill="1" applyFont="1"/>
    <xf borderId="38" fillId="3" fontId="15" numFmtId="0" xfId="0" applyBorder="1" applyFill="1" applyFont="1"/>
    <xf borderId="41" fillId="14" fontId="15" numFmtId="0" xfId="0" applyBorder="1" applyFill="1" applyFont="1"/>
    <xf borderId="38" fillId="14" fontId="15" numFmtId="0" xfId="0" applyBorder="1" applyFill="1" applyFont="1"/>
    <xf borderId="39" fillId="0" fontId="15" numFmtId="0" xfId="0" applyBorder="1" applyFont="1"/>
    <xf borderId="40" fillId="0" fontId="15" numFmtId="0" xfId="0" applyBorder="1" applyFont="1"/>
    <xf borderId="12" fillId="0" fontId="10" numFmtId="0" xfId="0" applyBorder="1" applyFont="1"/>
    <xf borderId="34" fillId="0" fontId="10" numFmtId="0" xfId="0" applyBorder="1" applyFont="1"/>
    <xf borderId="24" fillId="6" fontId="12" numFmtId="0" xfId="0" applyAlignment="1" applyBorder="1" applyFill="1" applyFont="1">
      <alignment horizontal="left" vertical="center"/>
    </xf>
    <xf borderId="27" fillId="0" fontId="9" numFmtId="0" xfId="0" applyAlignment="1" applyBorder="1" applyFont="1">
      <alignment horizontal="center"/>
    </xf>
    <xf borderId="22" fillId="3" fontId="15" numFmtId="0" xfId="0" applyBorder="1" applyFill="1" applyFont="1"/>
    <xf borderId="19" fillId="3" fontId="15" numFmtId="0" xfId="0" applyBorder="1" applyFill="1" applyFont="1"/>
    <xf borderId="42" fillId="3" fontId="15" numFmtId="0" xfId="0" applyBorder="1" applyFill="1" applyFont="1"/>
    <xf borderId="43" fillId="0" fontId="15" numFmtId="0" xfId="0" applyBorder="1" applyFont="1"/>
    <xf borderId="24" fillId="0" fontId="15" numFmtId="0" xfId="0" applyBorder="1" applyFont="1"/>
    <xf borderId="25" fillId="0" fontId="15" numFmtId="0" xfId="0" applyBorder="1" applyFont="1"/>
    <xf borderId="26" fillId="0" fontId="15" numFmtId="0" xfId="0" applyBorder="1" applyFont="1"/>
    <xf borderId="24" fillId="0" fontId="2" numFmtId="0" xfId="0" applyAlignment="1" applyBorder="1" applyFont="1">
      <alignment horizontal="center"/>
    </xf>
    <xf borderId="26" fillId="0" fontId="2" numFmtId="0" xfId="0" applyAlignment="1" applyBorder="1" applyFont="1">
      <alignment horizontal="right" vertical="center"/>
    </xf>
    <xf borderId="37" fillId="3" fontId="15" numFmtId="0" xfId="0" applyBorder="1" applyFill="1" applyFont="1"/>
    <xf borderId="44" fillId="3" fontId="15" numFmtId="0" xfId="0" applyBorder="1" applyFill="1" applyFont="1"/>
    <xf quotePrefix="1" borderId="0" fillId="0" fontId="16" numFmtId="0" xfId="0" applyAlignment="1" applyFont="1">
      <alignment readingOrder="0" shrinkToFit="0" vertical="center" wrapText="0"/>
    </xf>
    <xf borderId="45" fillId="3" fontId="9" numFmtId="0" xfId="0" applyBorder="1" applyFill="1" applyFont="1"/>
    <xf borderId="0" fillId="0" fontId="22" numFmtId="0" xfId="0" applyAlignment="1" applyFont="1">
      <alignment horizontal="left"/>
    </xf>
    <xf borderId="0" fillId="0" fontId="22" numFmtId="0" xfId="0" applyFont="1"/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right"/>
    </xf>
    <xf borderId="25" fillId="0" fontId="22" numFmtId="0" xfId="0" applyAlignment="1" applyBorder="1" applyFont="1">
      <alignment vertical="center"/>
    </xf>
    <xf borderId="25" fillId="0" fontId="22" numFmtId="0" xfId="0" applyAlignment="1" applyBorder="1" applyFont="1">
      <alignment horizontal="right"/>
    </xf>
    <xf borderId="24" fillId="6" fontId="14" numFmtId="0" xfId="0" applyAlignment="1" applyBorder="1" applyFill="1" applyFont="1">
      <alignment horizontal="left" vertical="center"/>
    </xf>
    <xf borderId="1" fillId="0" fontId="15" numFmtId="0" xfId="0" applyBorder="1" applyFont="1"/>
    <xf borderId="0" fillId="0" fontId="2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  <xf borderId="0" fillId="0" fontId="22" numFmtId="0" xfId="0" applyAlignment="1" applyFont="1">
      <alignment vertical="center"/>
    </xf>
    <xf borderId="12" fillId="0" fontId="22" numFmtId="0" xfId="0" applyAlignment="1" applyBorder="1" applyFont="1">
      <alignment vertical="center"/>
    </xf>
    <xf borderId="12" fillId="0" fontId="22" numFmtId="0" xfId="0" applyAlignment="1" applyBorder="1" applyFont="1">
      <alignment horizontal="right"/>
    </xf>
    <xf borderId="24" fillId="6" fontId="12" numFmtId="0" xfId="0" applyAlignment="1" applyBorder="1" applyFill="1" applyFont="1">
      <alignment horizontal="center" vertical="center"/>
    </xf>
    <xf borderId="12" fillId="0" fontId="22" numFmtId="0" xfId="0" applyAlignment="1" applyBorder="1" applyFont="1">
      <alignment horizontal="right" vertical="center"/>
    </xf>
    <xf borderId="12" fillId="0" fontId="22" numFmtId="0" xfId="0" applyAlignment="1" applyBorder="1" applyFont="1">
      <alignment horizontal="center"/>
    </xf>
    <xf borderId="12" fillId="0" fontId="22" numFmtId="9" xfId="0" applyAlignment="1" applyBorder="1" applyFont="1" applyNumberFormat="1">
      <alignment horizontal="center" vertical="center"/>
    </xf>
    <xf borderId="27" fillId="6" fontId="12" numFmtId="0" xfId="0" applyAlignment="1" applyBorder="1" applyFill="1" applyFont="1">
      <alignment horizontal="center" vertical="center"/>
    </xf>
    <xf borderId="5" fillId="6" fontId="12" numFmtId="0" xfId="0" applyAlignment="1" applyBorder="1" applyFill="1" applyFont="1">
      <alignment horizontal="center" shrinkToFit="1" vertical="center" wrapText="0"/>
    </xf>
    <xf borderId="22" fillId="15" fontId="15" numFmtId="0" xfId="0" applyBorder="1" applyFill="1" applyFont="1"/>
    <xf borderId="19" fillId="15" fontId="15" numFmtId="0" xfId="0" applyBorder="1" applyFill="1" applyFont="1"/>
    <xf borderId="42" fillId="15" fontId="15" numFmtId="0" xfId="0" applyBorder="1" applyFill="1" applyFont="1"/>
    <xf borderId="12" fillId="0" fontId="22" numFmtId="0" xfId="0" applyBorder="1" applyFont="1"/>
    <xf quotePrefix="1" borderId="25" fillId="0" fontId="22" numFmtId="0" xfId="0" applyAlignment="1" applyBorder="1" applyFont="1">
      <alignment horizontal="center"/>
    </xf>
    <xf borderId="27" fillId="0" fontId="15" numFmtId="0" xfId="0" applyAlignment="1" applyBorder="1" applyFont="1">
      <alignment horizontal="center" vertical="center"/>
    </xf>
    <xf borderId="19" fillId="6" fontId="15" numFmtId="0" xfId="0" applyAlignment="1" applyBorder="1" applyFill="1" applyFont="1">
      <alignment vertical="center"/>
    </xf>
    <xf borderId="0" fillId="0" fontId="12" numFmtId="0" xfId="0" applyFont="1"/>
    <xf borderId="37" fillId="15" fontId="15" numFmtId="0" xfId="0" applyBorder="1" applyFill="1" applyFont="1"/>
    <xf borderId="44" fillId="15" fontId="15" numFmtId="0" xfId="0" applyBorder="1" applyFill="1" applyFont="1"/>
    <xf borderId="45" fillId="15" fontId="9" numFmtId="0" xfId="0" applyBorder="1" applyFill="1" applyFont="1"/>
    <xf borderId="37" fillId="16" fontId="9" numFmtId="0" xfId="0" applyBorder="1" applyFill="1" applyFont="1"/>
    <xf borderId="45" fillId="16" fontId="9" numFmtId="0" xfId="0" applyBorder="1" applyFill="1" applyFont="1"/>
    <xf borderId="43" fillId="0" fontId="3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27" fillId="0" fontId="15" numFmtId="0" xfId="0" applyAlignment="1" applyBorder="1" applyFont="1">
      <alignment horizontal="center"/>
    </xf>
    <xf borderId="1" fillId="0" fontId="9" numFmtId="0" xfId="0" applyAlignment="1" applyBorder="1" applyFont="1">
      <alignment horizontal="right"/>
    </xf>
    <xf borderId="22" fillId="17" fontId="15" numFmtId="1" xfId="0" applyBorder="1" applyFill="1" applyFont="1" applyNumberFormat="1"/>
    <xf borderId="19" fillId="17" fontId="15" numFmtId="0" xfId="0" applyBorder="1" applyFill="1" applyFont="1"/>
    <xf borderId="42" fillId="17" fontId="15" numFmtId="1" xfId="0" applyBorder="1" applyFill="1" applyFont="1" applyNumberFormat="1"/>
    <xf borderId="1" fillId="0" fontId="9" numFmtId="0" xfId="0" applyBorder="1" applyFont="1"/>
    <xf borderId="0" fillId="0" fontId="12" numFmtId="0" xfId="0" applyAlignment="1" applyFont="1">
      <alignment horizontal="right"/>
    </xf>
    <xf borderId="22" fillId="17" fontId="15" numFmtId="0" xfId="0" applyBorder="1" applyFill="1" applyFont="1"/>
    <xf borderId="42" fillId="17" fontId="15" numFmtId="0" xfId="0" applyBorder="1" applyFill="1" applyFont="1"/>
    <xf borderId="0" fillId="0" fontId="27" numFmtId="0" xfId="0" applyAlignment="1" applyFont="1">
      <alignment vertical="center"/>
    </xf>
    <xf borderId="0" fillId="0" fontId="28" numFmtId="0" xfId="0" applyFont="1"/>
    <xf borderId="37" fillId="17" fontId="15" numFmtId="0" xfId="0" applyBorder="1" applyFill="1" applyFont="1"/>
    <xf borderId="44" fillId="17" fontId="15" numFmtId="0" xfId="0" applyBorder="1" applyFill="1" applyFont="1"/>
    <xf borderId="45" fillId="17" fontId="15" numFmtId="1" xfId="0" applyBorder="1" applyFill="1" applyFont="1" applyNumberFormat="1"/>
    <xf borderId="22" fillId="18" fontId="15" numFmtId="0" xfId="0" applyBorder="1" applyFill="1" applyFont="1"/>
    <xf borderId="19" fillId="18" fontId="1" numFmtId="0" xfId="0" applyBorder="1" applyFill="1" applyFont="1"/>
    <xf borderId="42" fillId="18" fontId="27" numFmtId="0" xfId="0" applyAlignment="1" applyBorder="1" applyFill="1" applyFont="1">
      <alignment vertical="center"/>
    </xf>
    <xf borderId="19" fillId="18" fontId="15" numFmtId="1" xfId="0" applyBorder="1" applyFill="1" applyFont="1" applyNumberFormat="1"/>
    <xf borderId="42" fillId="18" fontId="15" numFmtId="0" xfId="0" applyBorder="1" applyFill="1" applyFont="1"/>
    <xf borderId="37" fillId="18" fontId="15" numFmtId="0" xfId="0" applyBorder="1" applyFill="1" applyFont="1"/>
    <xf borderId="44" fillId="18" fontId="15" numFmtId="0" xfId="0" applyBorder="1" applyFill="1" applyFont="1"/>
    <xf borderId="45" fillId="18" fontId="15" numFmtId="0" xfId="0" applyBorder="1" applyFill="1" applyFont="1"/>
    <xf borderId="0" fillId="0" fontId="7" numFmtId="0" xfId="0" applyAlignment="1" applyFont="1">
      <alignment horizontal="center"/>
    </xf>
    <xf borderId="46" fillId="6" fontId="15" numFmtId="0" xfId="0" applyAlignment="1" applyBorder="1" applyFill="1" applyFont="1">
      <alignment horizontal="center"/>
    </xf>
    <xf borderId="47" fillId="0" fontId="8" numFmtId="0" xfId="0" applyBorder="1" applyFont="1"/>
    <xf borderId="48" fillId="0" fontId="8" numFmtId="0" xfId="0" applyBorder="1" applyFont="1"/>
    <xf borderId="22" fillId="10" fontId="15" numFmtId="0" xfId="0" applyBorder="1" applyFill="1" applyFont="1"/>
    <xf borderId="19" fillId="10" fontId="15" numFmtId="0" xfId="0" applyBorder="1" applyFill="1" applyFont="1"/>
    <xf borderId="42" fillId="10" fontId="15" numFmtId="0" xfId="0" applyBorder="1" applyFill="1" applyFont="1"/>
    <xf borderId="37" fillId="10" fontId="15" numFmtId="0" xfId="0" applyBorder="1" applyFill="1" applyFont="1"/>
    <xf borderId="6" fillId="10" fontId="15" numFmtId="0" xfId="0" applyAlignment="1" applyBorder="1" applyFill="1" applyFont="1">
      <alignment horizontal="center"/>
    </xf>
    <xf borderId="49" fillId="0" fontId="8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39" displayName="Form_Responses" name="Form_Responses" id="1">
  <autoFilter ref="$A$1:$AJ$39">
    <filterColumn colId="35">
      <filters>
        <filter val="4"/>
        <filter val="27"/>
      </filters>
    </filterColumn>
  </autoFilter>
  <tableColumns count="36">
    <tableColumn name="Timestamp" id="1"/>
    <tableColumn name="Email Address" id="2"/>
    <tableColumn name="NAME" id="3"/>
    <tableColumn name="SEX" id="4"/>
    <tableColumn name="DESIGNATION" id="5"/>
    <tableColumn name="PAN NUMBER" id="6"/>
    <tableColumn name="TAN NUMBER" id="7"/>
    <tableColumn name="Phone number" id="8"/>
    <tableColumn name="SCHOOL TYPE" id="9"/>
    <tableColumn name="SCHOOL NAME" id="10"/>
    <tableColumn name="OFFICE ADDRESS" id="11"/>
    <tableColumn name="PP" id="12"/>
    <tableColumn name="PP SURRENDER" id="13"/>
    <tableColumn name="BONUS" id="14"/>
    <tableColumn name="BASIC PAY " id="15"/>
    <tableColumn name="INCREMENT MONTH" id="16"/>
    <tableColumn name="CCA" id="17"/>
    <tableColumn name="HRA  " id="18"/>
    <tableColumn name="Specially abled Persons transport allowance" id="19"/>
    <tableColumn name="SURRENDER" id="20"/>
    <tableColumn name="SELECTION GRADE OR SPECIAL GRADE" id="21"/>
    <tableColumn name="SELECTION GRADE OR SPECIAL GRADE 2" id="22"/>
    <tableColumn name="IT ADVANCE  - MARCH -2025" id="23"/>
    <tableColumn name="IT ADVANCE  - APRIL-2025" id="24"/>
    <tableColumn name="IT ADVANCE  - MAY-2025" id="25"/>
    <tableColumn name="IT ADVANCE  - JUNE" id="26"/>
    <tableColumn name="IT ADVANCE  - JULY" id="27"/>
    <tableColumn name="IT ADVANCE  - AUGUEST" id="28"/>
    <tableColumn name="IT ADVANCE  - SEPTEMBER" id="29"/>
    <tableColumn name="IT ADVANCE  - OCTOBER" id="30"/>
    <tableColumn name="IT ADVANCE  - NOVEMBER" id="31"/>
    <tableColumn name="IT ADVANCE  - DECEMBER" id="32"/>
    <tableColumn name="IT ADVANCE  - JANUARY - 2026" id="33"/>
    <tableColumn name="WHATSAPP  NUMBER " id="34"/>
    <tableColumn name="STRIKE MONTH" id="35"/>
    <tableColumn name="ஸ்ட்ரைகில் இருந்த நாட்கள் எண்ணிக்கை மட்டும்" id="3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1.5"/>
    <col customWidth="1" min="3" max="3" width="16.38"/>
    <col customWidth="1" min="4" max="4" width="14.75"/>
    <col customWidth="1" min="5" max="15" width="18.88"/>
    <col customWidth="1" min="16" max="16" width="20.63"/>
    <col customWidth="1" min="17" max="18" width="18.88"/>
    <col customWidth="1" min="19" max="19" width="37.25"/>
    <col customWidth="1" min="20" max="20" width="18.88"/>
    <col customWidth="1" min="21" max="22" width="34.25"/>
    <col customWidth="1" min="23" max="23" width="26.38"/>
    <col customWidth="1" min="24" max="24" width="24.63"/>
    <col customWidth="1" min="25" max="25" width="23.63"/>
    <col customWidth="1" min="26" max="26" width="20.13"/>
    <col customWidth="1" min="27" max="27" width="19.75"/>
    <col customWidth="1" min="28" max="28" width="23.25"/>
    <col customWidth="1" min="29" max="29" width="25.25"/>
    <col customWidth="1" min="30" max="30" width="23.25"/>
    <col customWidth="1" min="31" max="31" width="24.75"/>
    <col customWidth="1" min="32" max="32" width="24.5"/>
    <col customWidth="1" min="33" max="33" width="28.13"/>
    <col customWidth="1" min="34" max="34" width="21.88"/>
    <col customWidth="1" min="35" max="35" width="18.88"/>
    <col customWidth="1" min="36" max="36" width="21.0"/>
    <col customWidth="1" min="37" max="42" width="18.88"/>
  </cols>
  <sheetData>
    <row r="1" ht="42.75" customHeight="1">
      <c r="A1" s="51" t="s">
        <v>59</v>
      </c>
      <c r="B1" s="51" t="s">
        <v>61</v>
      </c>
      <c r="C1" s="51" t="s">
        <v>62</v>
      </c>
      <c r="D1" s="51" t="s">
        <v>63</v>
      </c>
      <c r="E1" s="51" t="s">
        <v>64</v>
      </c>
      <c r="F1" s="51" t="s">
        <v>66</v>
      </c>
      <c r="G1" s="51" t="s">
        <v>67</v>
      </c>
      <c r="H1" s="51" t="s">
        <v>68</v>
      </c>
      <c r="I1" s="51" t="s">
        <v>69</v>
      </c>
      <c r="J1" s="51" t="s">
        <v>70</v>
      </c>
      <c r="K1" s="51" t="s">
        <v>71</v>
      </c>
      <c r="L1" s="51" t="s">
        <v>72</v>
      </c>
      <c r="M1" s="51" t="s">
        <v>73</v>
      </c>
      <c r="N1" s="51" t="s">
        <v>74</v>
      </c>
      <c r="O1" s="51" t="s">
        <v>76</v>
      </c>
      <c r="P1" s="51" t="s">
        <v>12</v>
      </c>
      <c r="Q1" s="51" t="s">
        <v>77</v>
      </c>
      <c r="R1" s="51" t="s">
        <v>78</v>
      </c>
      <c r="S1" s="51" t="s">
        <v>79</v>
      </c>
      <c r="T1" s="51" t="s">
        <v>80</v>
      </c>
      <c r="U1" s="51" t="s">
        <v>81</v>
      </c>
      <c r="V1" s="51" t="s">
        <v>83</v>
      </c>
      <c r="W1" s="51" t="s">
        <v>85</v>
      </c>
      <c r="X1" s="51" t="s">
        <v>86</v>
      </c>
      <c r="Y1" s="51" t="s">
        <v>88</v>
      </c>
      <c r="Z1" s="51" t="s">
        <v>89</v>
      </c>
      <c r="AA1" s="51" t="s">
        <v>91</v>
      </c>
      <c r="AB1" s="51" t="s">
        <v>93</v>
      </c>
      <c r="AC1" s="51" t="s">
        <v>95</v>
      </c>
      <c r="AD1" s="51" t="s">
        <v>97</v>
      </c>
      <c r="AE1" s="51" t="s">
        <v>98</v>
      </c>
      <c r="AF1" s="51" t="s">
        <v>99</v>
      </c>
      <c r="AG1" s="51" t="s">
        <v>100</v>
      </c>
      <c r="AH1" s="51" t="s">
        <v>101</v>
      </c>
      <c r="AI1" s="81" t="s">
        <v>102</v>
      </c>
      <c r="AJ1" s="81" t="s">
        <v>103</v>
      </c>
      <c r="AK1" s="85"/>
      <c r="AL1" s="85"/>
      <c r="AM1" s="85"/>
      <c r="AN1" s="85"/>
      <c r="AO1" s="85"/>
      <c r="AP1" s="85"/>
    </row>
    <row r="2" ht="22.5" hidden="1" customHeight="1">
      <c r="A2" s="87">
        <v>46061.50920905093</v>
      </c>
      <c r="B2" s="88" t="s">
        <v>104</v>
      </c>
      <c r="C2" s="88" t="s">
        <v>105</v>
      </c>
      <c r="D2" s="88" t="s">
        <v>11</v>
      </c>
      <c r="E2" s="88" t="s">
        <v>16</v>
      </c>
      <c r="F2" s="88" t="s">
        <v>106</v>
      </c>
      <c r="G2" s="88" t="s">
        <v>107</v>
      </c>
      <c r="H2" s="88">
        <v>8.122440081E9</v>
      </c>
      <c r="I2" s="88" t="s">
        <v>33</v>
      </c>
      <c r="J2" s="88" t="s">
        <v>108</v>
      </c>
      <c r="K2" s="88" t="s">
        <v>109</v>
      </c>
      <c r="L2" s="88">
        <v>2000.0</v>
      </c>
      <c r="M2" s="88">
        <v>0.0</v>
      </c>
      <c r="N2" s="88">
        <v>3000.0</v>
      </c>
      <c r="O2" s="88">
        <v>42500.0</v>
      </c>
      <c r="P2" s="88">
        <v>10.0</v>
      </c>
      <c r="Q2" s="88">
        <v>0.0</v>
      </c>
      <c r="R2" s="88">
        <v>1.0</v>
      </c>
      <c r="S2" s="88">
        <v>2500.0</v>
      </c>
      <c r="T2" s="88">
        <v>11.0</v>
      </c>
      <c r="U2" s="88">
        <v>30000.0</v>
      </c>
      <c r="V2" s="88">
        <v>6.0</v>
      </c>
      <c r="W2" s="88">
        <v>100.0</v>
      </c>
      <c r="X2" s="88">
        <v>101.0</v>
      </c>
      <c r="Y2" s="88">
        <v>102.0</v>
      </c>
      <c r="Z2" s="88">
        <v>103.0</v>
      </c>
      <c r="AA2" s="88">
        <v>104.0</v>
      </c>
      <c r="AB2" s="88">
        <v>105.0</v>
      </c>
      <c r="AC2" s="88">
        <v>106.0</v>
      </c>
      <c r="AD2" s="88">
        <v>107.0</v>
      </c>
      <c r="AE2" s="88">
        <v>108.0</v>
      </c>
      <c r="AF2" s="88">
        <v>109.0</v>
      </c>
      <c r="AG2" s="88">
        <v>110.0</v>
      </c>
      <c r="AH2" s="88">
        <v>8.122440081E9</v>
      </c>
      <c r="AI2" s="88" t="s">
        <v>112</v>
      </c>
      <c r="AJ2" s="97">
        <v>25.0</v>
      </c>
    </row>
    <row r="3" ht="22.5" hidden="1" customHeight="1">
      <c r="A3" s="98">
        <v>46061.54778825231</v>
      </c>
      <c r="B3" s="100" t="s">
        <v>113</v>
      </c>
      <c r="C3" s="100" t="s">
        <v>114</v>
      </c>
      <c r="D3" s="100" t="s">
        <v>116</v>
      </c>
      <c r="E3" s="100" t="s">
        <v>16</v>
      </c>
      <c r="F3" s="100" t="s">
        <v>117</v>
      </c>
      <c r="G3" s="100" t="s">
        <v>118</v>
      </c>
      <c r="H3" s="100">
        <v>9.78669035E9</v>
      </c>
      <c r="I3" s="100" t="s">
        <v>33</v>
      </c>
      <c r="J3" s="100" t="s">
        <v>119</v>
      </c>
      <c r="K3" s="100" t="s">
        <v>120</v>
      </c>
      <c r="L3" s="100">
        <v>2000.0</v>
      </c>
      <c r="M3" s="100">
        <v>0.0</v>
      </c>
      <c r="N3" s="100">
        <v>0.0</v>
      </c>
      <c r="O3" s="100">
        <v>33100.0</v>
      </c>
      <c r="P3" s="100">
        <v>10.0</v>
      </c>
      <c r="Q3" s="100">
        <v>0.0</v>
      </c>
      <c r="R3" s="100">
        <v>1.0</v>
      </c>
      <c r="S3" s="100">
        <v>0.0</v>
      </c>
      <c r="T3" s="100">
        <v>0.0</v>
      </c>
      <c r="U3" s="100">
        <v>0.0</v>
      </c>
      <c r="V3" s="100">
        <v>0.0</v>
      </c>
      <c r="W3" s="100">
        <v>0.0</v>
      </c>
      <c r="X3" s="100">
        <v>0.0</v>
      </c>
      <c r="Y3" s="100">
        <v>0.0</v>
      </c>
      <c r="Z3" s="100">
        <v>0.0</v>
      </c>
      <c r="AA3" s="100">
        <v>0.0</v>
      </c>
      <c r="AB3" s="100">
        <v>0.0</v>
      </c>
      <c r="AC3" s="100">
        <v>0.0</v>
      </c>
      <c r="AD3" s="100">
        <v>0.0</v>
      </c>
      <c r="AE3" s="100">
        <v>0.0</v>
      </c>
      <c r="AF3" s="100">
        <v>0.0</v>
      </c>
      <c r="AG3" s="100">
        <v>0.0</v>
      </c>
      <c r="AH3" s="100">
        <v>9.600561188E9</v>
      </c>
      <c r="AI3" s="100" t="s">
        <v>112</v>
      </c>
      <c r="AJ3" s="106">
        <v>26.0</v>
      </c>
    </row>
    <row r="4" ht="22.5" customHeight="1">
      <c r="A4" s="98">
        <v>46061.59093168982</v>
      </c>
      <c r="B4" s="100" t="s">
        <v>121</v>
      </c>
      <c r="C4" s="100" t="s">
        <v>122</v>
      </c>
      <c r="D4" s="100" t="s">
        <v>116</v>
      </c>
      <c r="E4" s="100" t="s">
        <v>16</v>
      </c>
      <c r="F4" s="100" t="s">
        <v>123</v>
      </c>
      <c r="G4" s="100" t="s">
        <v>124</v>
      </c>
      <c r="H4" s="100">
        <v>9.865422764E9</v>
      </c>
      <c r="I4" s="100" t="s">
        <v>33</v>
      </c>
      <c r="J4" s="100" t="s">
        <v>125</v>
      </c>
      <c r="K4" s="100" t="s">
        <v>126</v>
      </c>
      <c r="L4" s="100">
        <v>2000.0</v>
      </c>
      <c r="M4" s="100">
        <v>0.0</v>
      </c>
      <c r="N4" s="100">
        <v>3000.0</v>
      </c>
      <c r="O4" s="100">
        <v>34100.0</v>
      </c>
      <c r="P4" s="100">
        <v>10.0</v>
      </c>
      <c r="Q4" s="100">
        <v>0.0</v>
      </c>
      <c r="R4" s="100">
        <v>3.0</v>
      </c>
      <c r="S4" s="100">
        <v>0.0</v>
      </c>
      <c r="T4" s="100">
        <v>0.0</v>
      </c>
      <c r="U4" s="100">
        <v>0.0</v>
      </c>
      <c r="V4" s="100">
        <v>0.0</v>
      </c>
      <c r="W4" s="100">
        <v>0.0</v>
      </c>
      <c r="X4" s="100">
        <v>0.0</v>
      </c>
      <c r="Y4" s="100">
        <v>0.0</v>
      </c>
      <c r="Z4" s="100">
        <v>0.0</v>
      </c>
      <c r="AA4" s="100">
        <v>0.0</v>
      </c>
      <c r="AB4" s="100">
        <v>0.0</v>
      </c>
      <c r="AC4" s="100">
        <v>0.0</v>
      </c>
      <c r="AD4" s="100">
        <v>0.0</v>
      </c>
      <c r="AE4" s="100">
        <v>0.0</v>
      </c>
      <c r="AF4" s="100">
        <v>0.0</v>
      </c>
      <c r="AG4" s="100">
        <v>0.0</v>
      </c>
      <c r="AH4" s="100">
        <v>9.865422764E9</v>
      </c>
      <c r="AI4" s="100" t="s">
        <v>112</v>
      </c>
      <c r="AJ4" s="106">
        <v>27.0</v>
      </c>
    </row>
    <row r="5" ht="22.5" hidden="1" customHeight="1">
      <c r="A5" s="98">
        <v>46061.66800509259</v>
      </c>
      <c r="B5" s="100" t="s">
        <v>128</v>
      </c>
      <c r="C5" s="100" t="s">
        <v>129</v>
      </c>
      <c r="D5" s="100" t="s">
        <v>11</v>
      </c>
      <c r="E5" s="100" t="s">
        <v>130</v>
      </c>
      <c r="F5" s="100" t="s">
        <v>131</v>
      </c>
      <c r="G5" s="100">
        <v>0.0</v>
      </c>
      <c r="H5" s="100">
        <v>9.842441819E9</v>
      </c>
      <c r="I5" s="100" t="s">
        <v>132</v>
      </c>
      <c r="J5" s="100" t="s">
        <v>133</v>
      </c>
      <c r="K5" s="100" t="s">
        <v>134</v>
      </c>
      <c r="L5" s="100">
        <v>0.0</v>
      </c>
      <c r="M5" s="100">
        <v>0.0</v>
      </c>
      <c r="N5" s="100">
        <v>0.0</v>
      </c>
      <c r="O5" s="100">
        <v>85400.0</v>
      </c>
      <c r="P5" s="100">
        <v>1.0</v>
      </c>
      <c r="Q5" s="100">
        <v>1.0</v>
      </c>
      <c r="R5" s="100">
        <v>4.0</v>
      </c>
      <c r="S5" s="100">
        <v>0.0</v>
      </c>
      <c r="T5" s="100">
        <v>1.0</v>
      </c>
      <c r="U5" s="100">
        <v>0.0</v>
      </c>
      <c r="V5" s="100">
        <v>0.0</v>
      </c>
      <c r="W5" s="100">
        <v>0.0</v>
      </c>
      <c r="X5" s="100">
        <v>0.0</v>
      </c>
      <c r="Y5" s="100">
        <v>0.0</v>
      </c>
      <c r="Z5" s="100">
        <v>10082.0</v>
      </c>
      <c r="AA5" s="100">
        <v>0.0</v>
      </c>
      <c r="AB5" s="100">
        <v>0.0</v>
      </c>
      <c r="AC5" s="100">
        <v>0.0</v>
      </c>
      <c r="AD5" s="100">
        <v>0.0</v>
      </c>
      <c r="AE5" s="100">
        <v>0.0</v>
      </c>
      <c r="AF5" s="100">
        <v>0.0</v>
      </c>
      <c r="AG5" s="100">
        <v>0.0</v>
      </c>
      <c r="AH5" s="100">
        <v>9.842441819E9</v>
      </c>
      <c r="AI5" s="100" t="s">
        <v>112</v>
      </c>
      <c r="AJ5" s="106">
        <v>0.0</v>
      </c>
    </row>
    <row r="6" ht="22.5" hidden="1" customHeight="1">
      <c r="A6" s="98">
        <v>46061.68593392361</v>
      </c>
      <c r="B6" s="100" t="s">
        <v>136</v>
      </c>
      <c r="C6" s="100" t="s">
        <v>137</v>
      </c>
      <c r="D6" s="100" t="s">
        <v>11</v>
      </c>
      <c r="E6" s="100" t="s">
        <v>140</v>
      </c>
      <c r="F6" s="100" t="s">
        <v>141</v>
      </c>
      <c r="G6" s="100" t="s">
        <v>142</v>
      </c>
      <c r="H6" s="100">
        <v>9.791112884E9</v>
      </c>
      <c r="I6" s="100" t="s">
        <v>144</v>
      </c>
      <c r="J6" s="100" t="s">
        <v>145</v>
      </c>
      <c r="K6" s="100" t="s">
        <v>146</v>
      </c>
      <c r="L6" s="100">
        <v>0.0</v>
      </c>
      <c r="M6" s="100">
        <v>0.0</v>
      </c>
      <c r="N6" s="100">
        <v>0.0</v>
      </c>
      <c r="O6" s="100">
        <v>78700.0</v>
      </c>
      <c r="P6" s="100">
        <v>4.0</v>
      </c>
      <c r="Q6" s="100">
        <v>2.0</v>
      </c>
      <c r="R6" s="100">
        <v>5.0</v>
      </c>
      <c r="S6" s="100">
        <v>0.0</v>
      </c>
      <c r="T6" s="100">
        <v>11.0</v>
      </c>
      <c r="U6" s="100">
        <v>0.0</v>
      </c>
      <c r="V6" s="100">
        <v>0.0</v>
      </c>
      <c r="W6" s="100">
        <v>0.0</v>
      </c>
      <c r="X6" s="100">
        <v>10323.0</v>
      </c>
      <c r="Y6" s="100">
        <v>10676.0</v>
      </c>
      <c r="Z6" s="100">
        <v>10676.0</v>
      </c>
      <c r="AA6" s="100">
        <v>10676.0</v>
      </c>
      <c r="AB6" s="100">
        <v>10675.0</v>
      </c>
      <c r="AC6" s="100">
        <v>10676.0</v>
      </c>
      <c r="AD6" s="100">
        <v>10675.0</v>
      </c>
      <c r="AE6" s="100">
        <v>14559.0</v>
      </c>
      <c r="AF6" s="100">
        <v>14643.0</v>
      </c>
      <c r="AG6" s="100">
        <v>14643.0</v>
      </c>
      <c r="AH6" s="100">
        <v>9.791112884E9</v>
      </c>
      <c r="AI6" s="100" t="s">
        <v>112</v>
      </c>
      <c r="AJ6" s="106">
        <v>0.0</v>
      </c>
    </row>
    <row r="7" ht="22.5" customHeight="1">
      <c r="A7" s="98">
        <v>46061.806220706014</v>
      </c>
      <c r="B7" s="100" t="s">
        <v>147</v>
      </c>
      <c r="C7" s="100" t="s">
        <v>148</v>
      </c>
      <c r="D7" s="100" t="s">
        <v>116</v>
      </c>
      <c r="E7" s="100" t="s">
        <v>16</v>
      </c>
      <c r="F7" s="100" t="s">
        <v>149</v>
      </c>
      <c r="G7" s="100">
        <v>0.0</v>
      </c>
      <c r="H7" s="100">
        <v>8.610523138E9</v>
      </c>
      <c r="I7" s="100" t="s">
        <v>132</v>
      </c>
      <c r="J7" s="100" t="s">
        <v>150</v>
      </c>
      <c r="K7" s="100" t="s">
        <v>151</v>
      </c>
      <c r="L7" s="100">
        <v>2000.0</v>
      </c>
      <c r="M7" s="100">
        <v>0.0</v>
      </c>
      <c r="N7" s="100">
        <v>3000.0</v>
      </c>
      <c r="O7" s="100">
        <v>34100.0</v>
      </c>
      <c r="P7" s="100">
        <v>10.0</v>
      </c>
      <c r="Q7" s="100">
        <v>1.0</v>
      </c>
      <c r="R7" s="100">
        <v>2.0</v>
      </c>
      <c r="S7" s="100">
        <v>0.0</v>
      </c>
      <c r="T7" s="100">
        <v>1.0</v>
      </c>
      <c r="U7" s="100">
        <v>0.0</v>
      </c>
      <c r="V7" s="100">
        <v>2.0</v>
      </c>
      <c r="W7" s="100">
        <v>0.0</v>
      </c>
      <c r="X7" s="100">
        <v>0.0</v>
      </c>
      <c r="Y7" s="100">
        <v>0.0</v>
      </c>
      <c r="Z7" s="100">
        <v>0.0</v>
      </c>
      <c r="AA7" s="100">
        <v>0.0</v>
      </c>
      <c r="AB7" s="100">
        <v>0.0</v>
      </c>
      <c r="AC7" s="100">
        <v>0.0</v>
      </c>
      <c r="AD7" s="100">
        <v>0.0</v>
      </c>
      <c r="AE7" s="100">
        <v>0.0</v>
      </c>
      <c r="AF7" s="100">
        <v>0.0</v>
      </c>
      <c r="AG7" s="100">
        <v>0.0</v>
      </c>
      <c r="AH7" s="100">
        <v>8.610523138E9</v>
      </c>
      <c r="AI7" s="100" t="s">
        <v>112</v>
      </c>
      <c r="AJ7" s="106">
        <v>27.0</v>
      </c>
    </row>
    <row r="8" ht="22.5" customHeight="1">
      <c r="A8" s="98">
        <v>46061.84108092592</v>
      </c>
      <c r="B8" s="100" t="s">
        <v>154</v>
      </c>
      <c r="C8" s="100" t="s">
        <v>155</v>
      </c>
      <c r="D8" s="100" t="s">
        <v>116</v>
      </c>
      <c r="E8" s="100" t="s">
        <v>16</v>
      </c>
      <c r="F8" s="100" t="s">
        <v>156</v>
      </c>
      <c r="G8" s="100" t="s">
        <v>157</v>
      </c>
      <c r="H8" s="100">
        <v>9.67761403E9</v>
      </c>
      <c r="I8" s="100" t="s">
        <v>33</v>
      </c>
      <c r="J8" s="100" t="s">
        <v>158</v>
      </c>
      <c r="K8" s="100" t="s">
        <v>159</v>
      </c>
      <c r="L8" s="100">
        <v>2000.0</v>
      </c>
      <c r="M8" s="100">
        <v>0.0</v>
      </c>
      <c r="N8" s="100">
        <v>3000.0</v>
      </c>
      <c r="O8" s="100">
        <v>32100.0</v>
      </c>
      <c r="P8" s="100">
        <v>7.0</v>
      </c>
      <c r="Q8" s="100">
        <v>0.0</v>
      </c>
      <c r="R8" s="100">
        <v>3.0</v>
      </c>
      <c r="S8" s="100">
        <v>0.0</v>
      </c>
      <c r="T8" s="100">
        <v>10.0</v>
      </c>
      <c r="AH8" s="100">
        <v>9.67761403E9</v>
      </c>
      <c r="AI8" s="100" t="s">
        <v>112</v>
      </c>
      <c r="AJ8" s="106">
        <v>27.0</v>
      </c>
    </row>
    <row r="9" ht="22.5" customHeight="1">
      <c r="A9" s="98">
        <v>46061.92373416667</v>
      </c>
      <c r="B9" s="100" t="s">
        <v>162</v>
      </c>
      <c r="C9" s="100" t="s">
        <v>163</v>
      </c>
      <c r="D9" s="100" t="s">
        <v>11</v>
      </c>
      <c r="E9" s="100" t="s">
        <v>16</v>
      </c>
      <c r="F9" s="100" t="s">
        <v>164</v>
      </c>
      <c r="G9" s="100" t="s">
        <v>165</v>
      </c>
      <c r="H9" s="100">
        <v>9.843083017E9</v>
      </c>
      <c r="I9" s="100" t="s">
        <v>33</v>
      </c>
      <c r="J9" s="100" t="s">
        <v>166</v>
      </c>
      <c r="K9" s="100" t="s">
        <v>167</v>
      </c>
      <c r="L9" s="100">
        <v>2000.0</v>
      </c>
      <c r="M9" s="100">
        <v>0.0</v>
      </c>
      <c r="N9" s="100">
        <v>3000.0</v>
      </c>
      <c r="O9" s="100">
        <v>36200.0</v>
      </c>
      <c r="P9" s="100">
        <v>10.0</v>
      </c>
      <c r="Q9" s="100">
        <v>0.0</v>
      </c>
      <c r="R9" s="100">
        <v>3.0</v>
      </c>
      <c r="S9" s="100">
        <v>0.0</v>
      </c>
      <c r="T9" s="100">
        <v>0.0</v>
      </c>
      <c r="AH9" s="100">
        <v>9.843083017E9</v>
      </c>
      <c r="AI9" s="100" t="s">
        <v>112</v>
      </c>
      <c r="AJ9" s="106">
        <v>27.0</v>
      </c>
    </row>
    <row r="10" ht="22.5" hidden="1" customHeight="1">
      <c r="A10" s="98">
        <v>46061.94008768519</v>
      </c>
      <c r="B10" s="100" t="s">
        <v>168</v>
      </c>
      <c r="C10" s="100" t="s">
        <v>169</v>
      </c>
      <c r="D10" s="100" t="s">
        <v>116</v>
      </c>
      <c r="E10" s="100" t="s">
        <v>16</v>
      </c>
      <c r="F10" s="100" t="s">
        <v>170</v>
      </c>
      <c r="G10" s="100" t="s">
        <v>171</v>
      </c>
      <c r="H10" s="100">
        <v>9.97613032E9</v>
      </c>
      <c r="I10" s="100" t="s">
        <v>144</v>
      </c>
      <c r="J10" s="100" t="s">
        <v>172</v>
      </c>
      <c r="K10" s="100" t="s">
        <v>173</v>
      </c>
      <c r="L10" s="100">
        <v>2000.0</v>
      </c>
      <c r="M10" s="100">
        <v>1000.0</v>
      </c>
      <c r="N10" s="100">
        <v>3000.0</v>
      </c>
      <c r="O10" s="100">
        <v>30300.0</v>
      </c>
      <c r="P10" s="100">
        <v>10.0</v>
      </c>
      <c r="Q10" s="100">
        <v>0.0</v>
      </c>
      <c r="R10" s="100">
        <v>2.0</v>
      </c>
      <c r="S10" s="100">
        <v>0.0</v>
      </c>
      <c r="T10" s="100">
        <v>11.0</v>
      </c>
      <c r="U10" s="100">
        <v>0.0</v>
      </c>
      <c r="V10" s="100">
        <v>0.0</v>
      </c>
      <c r="W10" s="100">
        <v>0.0</v>
      </c>
      <c r="X10" s="100">
        <v>0.0</v>
      </c>
      <c r="Y10" s="100">
        <v>0.0</v>
      </c>
      <c r="Z10" s="100">
        <v>0.0</v>
      </c>
      <c r="AA10" s="100">
        <v>0.0</v>
      </c>
      <c r="AB10" s="100">
        <v>0.0</v>
      </c>
      <c r="AC10" s="100">
        <v>0.0</v>
      </c>
      <c r="AD10" s="100">
        <v>0.0</v>
      </c>
      <c r="AE10" s="100">
        <v>0.0</v>
      </c>
      <c r="AF10" s="100">
        <v>0.0</v>
      </c>
      <c r="AG10" s="100">
        <v>0.0</v>
      </c>
      <c r="AH10" s="100">
        <v>9.97613032E9</v>
      </c>
      <c r="AI10" s="100" t="s">
        <v>112</v>
      </c>
      <c r="AJ10" s="106">
        <v>22.0</v>
      </c>
    </row>
    <row r="11" ht="22.5" hidden="1" customHeight="1">
      <c r="A11" s="98">
        <v>46062.34311503472</v>
      </c>
      <c r="B11" s="100" t="s">
        <v>176</v>
      </c>
      <c r="C11" s="100" t="s">
        <v>177</v>
      </c>
      <c r="D11" s="100" t="s">
        <v>11</v>
      </c>
      <c r="E11" s="100" t="s">
        <v>140</v>
      </c>
      <c r="F11" s="100" t="s">
        <v>178</v>
      </c>
      <c r="G11" s="100" t="s">
        <v>179</v>
      </c>
      <c r="H11" s="100">
        <v>6.374889515E9</v>
      </c>
      <c r="I11" s="100" t="s">
        <v>180</v>
      </c>
      <c r="J11" s="100" t="s">
        <v>181</v>
      </c>
      <c r="K11" s="100" t="s">
        <v>182</v>
      </c>
      <c r="L11" s="100">
        <v>0.0</v>
      </c>
      <c r="M11" s="100">
        <v>0.0</v>
      </c>
      <c r="N11" s="100">
        <v>3000.0</v>
      </c>
      <c r="O11" s="100">
        <v>58600.0</v>
      </c>
      <c r="P11" s="100">
        <v>10.0</v>
      </c>
      <c r="Q11" s="100">
        <v>0.0</v>
      </c>
      <c r="R11" s="100">
        <v>3.0</v>
      </c>
      <c r="S11" s="100">
        <v>0.0</v>
      </c>
      <c r="T11" s="100">
        <v>11.0</v>
      </c>
      <c r="AH11" s="100">
        <v>9.840535635E9</v>
      </c>
      <c r="AI11" s="100" t="s">
        <v>112</v>
      </c>
      <c r="AJ11" s="106">
        <v>0.0</v>
      </c>
    </row>
    <row r="12" ht="22.5" hidden="1" customHeight="1">
      <c r="A12" s="98">
        <v>46062.526388796294</v>
      </c>
      <c r="B12" s="100" t="s">
        <v>185</v>
      </c>
      <c r="C12" s="100" t="s">
        <v>186</v>
      </c>
      <c r="D12" s="100" t="s">
        <v>116</v>
      </c>
      <c r="E12" s="100" t="s">
        <v>16</v>
      </c>
      <c r="F12" s="100" t="s">
        <v>187</v>
      </c>
      <c r="G12" s="100" t="s">
        <v>188</v>
      </c>
      <c r="H12" s="100">
        <v>9.445908604E9</v>
      </c>
      <c r="I12" s="100" t="s">
        <v>132</v>
      </c>
      <c r="J12" s="100" t="s">
        <v>189</v>
      </c>
      <c r="K12" s="100" t="s">
        <v>190</v>
      </c>
      <c r="L12" s="100">
        <v>2000.0</v>
      </c>
      <c r="M12" s="100">
        <v>0.0</v>
      </c>
      <c r="N12" s="100">
        <v>3000.0</v>
      </c>
      <c r="O12" s="100">
        <v>67500.0</v>
      </c>
      <c r="P12" s="100">
        <v>1.0</v>
      </c>
      <c r="Q12" s="100">
        <v>1.0</v>
      </c>
      <c r="R12" s="100">
        <v>4.0</v>
      </c>
      <c r="S12" s="100">
        <v>0.0</v>
      </c>
      <c r="T12" s="100">
        <v>0.0</v>
      </c>
      <c r="U12" s="100">
        <v>0.0</v>
      </c>
      <c r="V12" s="100">
        <v>0.0</v>
      </c>
      <c r="W12" s="100">
        <v>0.0</v>
      </c>
      <c r="X12" s="100">
        <v>8320.0</v>
      </c>
      <c r="Y12" s="100">
        <v>6856.0</v>
      </c>
      <c r="Z12" s="100">
        <v>6856.0</v>
      </c>
      <c r="AA12" s="100">
        <v>6856.0</v>
      </c>
      <c r="AB12" s="100">
        <v>6854.0</v>
      </c>
      <c r="AC12" s="100">
        <v>6854.0</v>
      </c>
      <c r="AD12" s="100">
        <v>6854.0</v>
      </c>
      <c r="AE12" s="100">
        <v>7487.0</v>
      </c>
      <c r="AF12" s="100">
        <v>7487.0</v>
      </c>
      <c r="AG12" s="100">
        <v>8214.0</v>
      </c>
      <c r="AH12" s="100">
        <v>8.668019469E9</v>
      </c>
      <c r="AI12" s="100" t="s">
        <v>112</v>
      </c>
      <c r="AJ12" s="106">
        <v>0.0</v>
      </c>
    </row>
    <row r="13" ht="22.5" customHeight="1">
      <c r="A13" s="98">
        <v>46062.47663284722</v>
      </c>
      <c r="B13" s="100" t="s">
        <v>193</v>
      </c>
      <c r="C13" s="100" t="s">
        <v>194</v>
      </c>
      <c r="D13" s="100" t="s">
        <v>116</v>
      </c>
      <c r="E13" s="100" t="s">
        <v>16</v>
      </c>
      <c r="F13" s="100" t="s">
        <v>195</v>
      </c>
      <c r="G13" s="100" t="s">
        <v>196</v>
      </c>
      <c r="H13" s="100">
        <v>9.003577482E9</v>
      </c>
      <c r="I13" s="100" t="s">
        <v>33</v>
      </c>
      <c r="J13" s="100" t="s">
        <v>197</v>
      </c>
      <c r="K13" s="100" t="s">
        <v>198</v>
      </c>
      <c r="L13" s="100">
        <v>2000.0</v>
      </c>
      <c r="M13" s="100">
        <v>1000.0</v>
      </c>
      <c r="N13" s="100">
        <v>3000.0</v>
      </c>
      <c r="O13" s="100">
        <v>36200.0</v>
      </c>
      <c r="P13" s="100">
        <v>10.0</v>
      </c>
      <c r="Q13" s="100">
        <v>0.0</v>
      </c>
      <c r="R13" s="100">
        <v>3.0</v>
      </c>
      <c r="S13" s="100">
        <v>0.0</v>
      </c>
      <c r="T13" s="100">
        <v>1.0</v>
      </c>
      <c r="U13" s="100">
        <v>0.0</v>
      </c>
      <c r="V13" s="100">
        <v>0.0</v>
      </c>
      <c r="W13" s="100">
        <v>0.0</v>
      </c>
      <c r="X13" s="100">
        <v>0.0</v>
      </c>
      <c r="Y13" s="100">
        <v>0.0</v>
      </c>
      <c r="Z13" s="100">
        <v>0.0</v>
      </c>
      <c r="AA13" s="100">
        <v>0.0</v>
      </c>
      <c r="AB13" s="100">
        <v>0.0</v>
      </c>
      <c r="AC13" s="100">
        <v>0.0</v>
      </c>
      <c r="AD13" s="100">
        <v>0.0</v>
      </c>
      <c r="AE13" s="100">
        <v>0.0</v>
      </c>
      <c r="AF13" s="100">
        <v>0.0</v>
      </c>
      <c r="AG13" s="100">
        <v>0.0</v>
      </c>
      <c r="AH13" s="100">
        <v>9.003577482E9</v>
      </c>
      <c r="AI13" s="100" t="s">
        <v>112</v>
      </c>
      <c r="AJ13" s="106">
        <v>27.0</v>
      </c>
    </row>
    <row r="14" ht="22.5" hidden="1" customHeight="1">
      <c r="A14" s="98">
        <v>46062.48812940972</v>
      </c>
      <c r="B14" s="100" t="s">
        <v>201</v>
      </c>
      <c r="C14" s="100" t="s">
        <v>202</v>
      </c>
      <c r="D14" s="100" t="s">
        <v>116</v>
      </c>
      <c r="E14" s="100" t="s">
        <v>16</v>
      </c>
      <c r="F14" s="100" t="s">
        <v>203</v>
      </c>
      <c r="G14" s="100" t="s">
        <v>204</v>
      </c>
      <c r="H14" s="100">
        <v>9.790504933E9</v>
      </c>
      <c r="I14" s="100" t="s">
        <v>33</v>
      </c>
      <c r="J14" s="100" t="s">
        <v>205</v>
      </c>
      <c r="K14" s="100" t="s">
        <v>206</v>
      </c>
      <c r="L14" s="100">
        <v>2000.0</v>
      </c>
      <c r="M14" s="100">
        <v>0.0</v>
      </c>
      <c r="N14" s="100">
        <v>3000.0</v>
      </c>
      <c r="O14" s="100">
        <v>37300.0</v>
      </c>
      <c r="P14" s="100">
        <v>7.0</v>
      </c>
      <c r="Q14" s="100">
        <v>0.0</v>
      </c>
      <c r="R14" s="100">
        <v>2.0</v>
      </c>
      <c r="S14" s="100">
        <v>0.0</v>
      </c>
      <c r="T14" s="100">
        <v>12.0</v>
      </c>
      <c r="U14" s="100">
        <v>0.0</v>
      </c>
      <c r="V14" s="100">
        <v>0.0</v>
      </c>
      <c r="W14" s="100">
        <v>0.0</v>
      </c>
      <c r="X14" s="100">
        <v>0.0</v>
      </c>
      <c r="Y14" s="100">
        <v>0.0</v>
      </c>
      <c r="Z14" s="100">
        <v>0.0</v>
      </c>
      <c r="AA14" s="100">
        <v>0.0</v>
      </c>
      <c r="AB14" s="100">
        <v>0.0</v>
      </c>
      <c r="AC14" s="100">
        <v>0.0</v>
      </c>
      <c r="AD14" s="100">
        <v>0.0</v>
      </c>
      <c r="AE14" s="100">
        <v>0.0</v>
      </c>
      <c r="AF14" s="100">
        <v>0.0</v>
      </c>
      <c r="AG14" s="100">
        <v>0.0</v>
      </c>
      <c r="AH14" s="100">
        <v>9.790504933E9</v>
      </c>
      <c r="AI14" s="100" t="s">
        <v>112</v>
      </c>
      <c r="AJ14" s="106">
        <v>5.0</v>
      </c>
    </row>
    <row r="15" ht="22.5" hidden="1" customHeight="1">
      <c r="A15" s="98">
        <v>46062.49789709491</v>
      </c>
      <c r="B15" s="100" t="s">
        <v>210</v>
      </c>
      <c r="C15" s="100" t="s">
        <v>211</v>
      </c>
      <c r="D15" s="100" t="s">
        <v>116</v>
      </c>
      <c r="E15" s="100" t="s">
        <v>16</v>
      </c>
      <c r="F15" s="100" t="s">
        <v>212</v>
      </c>
      <c r="G15" s="100" t="s">
        <v>204</v>
      </c>
      <c r="H15" s="100">
        <v>9.894736589E9</v>
      </c>
      <c r="I15" s="100" t="s">
        <v>33</v>
      </c>
      <c r="J15" s="100" t="s">
        <v>213</v>
      </c>
      <c r="K15" s="100" t="s">
        <v>214</v>
      </c>
      <c r="L15" s="100">
        <v>2000.0</v>
      </c>
      <c r="M15" s="100">
        <v>0.0</v>
      </c>
      <c r="N15" s="100">
        <v>3000.0</v>
      </c>
      <c r="O15" s="100">
        <v>59900.0</v>
      </c>
      <c r="P15" s="100">
        <v>4.0</v>
      </c>
      <c r="Q15" s="100">
        <v>1.0</v>
      </c>
      <c r="R15" s="100">
        <v>4.0</v>
      </c>
      <c r="S15" s="100">
        <v>0.0</v>
      </c>
      <c r="T15" s="100">
        <v>12.0</v>
      </c>
      <c r="U15" s="100">
        <v>0.0</v>
      </c>
      <c r="V15" s="100">
        <v>0.0</v>
      </c>
      <c r="W15" s="100">
        <v>0.0</v>
      </c>
      <c r="X15" s="100">
        <v>0.0</v>
      </c>
      <c r="Z15" s="100">
        <v>0.0</v>
      </c>
      <c r="AA15" s="100">
        <v>0.0</v>
      </c>
      <c r="AB15" s="100">
        <v>0.0</v>
      </c>
      <c r="AC15" s="100">
        <v>0.0</v>
      </c>
      <c r="AD15" s="100">
        <v>0.0</v>
      </c>
      <c r="AE15" s="100">
        <v>0.0</v>
      </c>
      <c r="AF15" s="100">
        <v>9058.0</v>
      </c>
      <c r="AG15" s="100">
        <v>10619.0</v>
      </c>
      <c r="AH15" s="100">
        <v>9.894736589E9</v>
      </c>
      <c r="AI15" s="100" t="s">
        <v>112</v>
      </c>
      <c r="AJ15" s="106">
        <v>0.0</v>
      </c>
    </row>
    <row r="16" ht="22.5" hidden="1" customHeight="1">
      <c r="A16" s="98">
        <v>46062.52549707176</v>
      </c>
      <c r="B16" s="100" t="s">
        <v>217</v>
      </c>
      <c r="C16" s="100" t="s">
        <v>218</v>
      </c>
      <c r="D16" s="100" t="s">
        <v>116</v>
      </c>
      <c r="E16" s="100" t="s">
        <v>16</v>
      </c>
      <c r="F16" s="100" t="s">
        <v>219</v>
      </c>
      <c r="G16" s="100" t="s">
        <v>220</v>
      </c>
      <c r="H16" s="100">
        <v>9.976465015E9</v>
      </c>
      <c r="I16" s="100" t="s">
        <v>33</v>
      </c>
      <c r="J16" s="100" t="s">
        <v>221</v>
      </c>
      <c r="K16" s="100" t="s">
        <v>206</v>
      </c>
      <c r="L16" s="100">
        <v>2000.0</v>
      </c>
      <c r="M16" s="100">
        <v>0.0</v>
      </c>
      <c r="N16" s="100">
        <v>3000.0</v>
      </c>
      <c r="O16" s="100">
        <v>53300.0</v>
      </c>
      <c r="P16" s="100">
        <v>4.0</v>
      </c>
      <c r="Q16" s="100">
        <v>1.0</v>
      </c>
      <c r="R16" s="100">
        <v>4.0</v>
      </c>
      <c r="S16" s="100">
        <v>0.0</v>
      </c>
      <c r="T16" s="100">
        <v>12.0</v>
      </c>
      <c r="U16" s="100">
        <v>0.0</v>
      </c>
      <c r="V16" s="100">
        <v>0.0</v>
      </c>
      <c r="W16" s="100">
        <v>0.0</v>
      </c>
      <c r="X16" s="100">
        <v>0.0</v>
      </c>
      <c r="Y16" s="100">
        <v>0.0</v>
      </c>
      <c r="Z16" s="100">
        <v>0.0</v>
      </c>
      <c r="AA16" s="100">
        <v>0.0</v>
      </c>
      <c r="AB16" s="100">
        <v>0.0</v>
      </c>
      <c r="AC16" s="100">
        <v>0.0</v>
      </c>
      <c r="AD16" s="100">
        <v>0.0</v>
      </c>
      <c r="AE16" s="100">
        <v>0.0</v>
      </c>
      <c r="AF16" s="100">
        <v>0.0</v>
      </c>
      <c r="AG16" s="100">
        <v>0.0</v>
      </c>
      <c r="AH16" s="100">
        <v>9.976465015E9</v>
      </c>
      <c r="AI16" s="100" t="s">
        <v>112</v>
      </c>
      <c r="AJ16" s="106">
        <v>0.0</v>
      </c>
    </row>
    <row r="17" ht="22.5" hidden="1" customHeight="1">
      <c r="A17" s="98">
        <v>46062.506383182874</v>
      </c>
      <c r="B17" s="100" t="s">
        <v>224</v>
      </c>
      <c r="C17" s="100" t="s">
        <v>225</v>
      </c>
      <c r="D17" s="100" t="s">
        <v>116</v>
      </c>
      <c r="E17" s="100" t="s">
        <v>16</v>
      </c>
      <c r="F17" s="100" t="s">
        <v>226</v>
      </c>
      <c r="G17" s="100" t="s">
        <v>227</v>
      </c>
      <c r="H17" s="100">
        <v>9.655668917E9</v>
      </c>
      <c r="I17" s="100" t="s">
        <v>33</v>
      </c>
      <c r="J17" s="100" t="s">
        <v>228</v>
      </c>
      <c r="K17" s="100" t="s">
        <v>214</v>
      </c>
      <c r="L17" s="100">
        <v>2000.0</v>
      </c>
      <c r="M17" s="100">
        <v>0.0</v>
      </c>
      <c r="N17" s="100">
        <v>3000.0</v>
      </c>
      <c r="O17" s="100">
        <v>71600.0</v>
      </c>
      <c r="P17" s="100">
        <v>7.0</v>
      </c>
      <c r="Q17" s="100">
        <v>1.0</v>
      </c>
      <c r="R17" s="100">
        <v>4.0</v>
      </c>
      <c r="S17" s="100">
        <v>0.0</v>
      </c>
      <c r="T17" s="100">
        <v>0.0</v>
      </c>
      <c r="U17" s="100">
        <v>0.0</v>
      </c>
      <c r="V17" s="100">
        <v>0.0</v>
      </c>
      <c r="W17" s="100">
        <v>0.0</v>
      </c>
      <c r="X17" s="100">
        <v>7480.0</v>
      </c>
      <c r="Y17" s="100">
        <v>7793.0</v>
      </c>
      <c r="Z17" s="100">
        <v>7793.0</v>
      </c>
      <c r="AA17" s="100">
        <v>8300.0</v>
      </c>
      <c r="AB17" s="100">
        <v>8300.0</v>
      </c>
      <c r="AC17" s="100">
        <v>8300.0</v>
      </c>
      <c r="AD17" s="100">
        <v>8300.0</v>
      </c>
      <c r="AE17" s="100">
        <v>8990.0</v>
      </c>
      <c r="AF17" s="100">
        <v>8990.0</v>
      </c>
      <c r="AG17" s="100">
        <v>9225.0</v>
      </c>
      <c r="AH17" s="100">
        <v>9.655668917E9</v>
      </c>
      <c r="AI17" s="100" t="s">
        <v>112</v>
      </c>
      <c r="AJ17" s="106">
        <v>0.0</v>
      </c>
    </row>
    <row r="18" ht="22.5" hidden="1" customHeight="1">
      <c r="A18" s="98">
        <v>46062.53111939815</v>
      </c>
      <c r="B18" s="100" t="s">
        <v>231</v>
      </c>
      <c r="C18" s="100" t="s">
        <v>232</v>
      </c>
      <c r="D18" s="100" t="s">
        <v>116</v>
      </c>
      <c r="E18" s="100" t="s">
        <v>16</v>
      </c>
      <c r="F18" s="100" t="s">
        <v>233</v>
      </c>
      <c r="G18" s="100" t="s">
        <v>227</v>
      </c>
      <c r="H18" s="100">
        <v>9.789689699E9</v>
      </c>
      <c r="I18" s="100" t="s">
        <v>33</v>
      </c>
      <c r="J18" s="100" t="s">
        <v>235</v>
      </c>
      <c r="K18" s="100" t="s">
        <v>236</v>
      </c>
      <c r="L18" s="100">
        <v>2000.0</v>
      </c>
      <c r="M18" s="100">
        <v>0.0</v>
      </c>
      <c r="N18" s="100">
        <v>3000.0</v>
      </c>
      <c r="O18" s="100">
        <v>69500.0</v>
      </c>
      <c r="P18" s="100">
        <v>7.0</v>
      </c>
      <c r="Q18" s="100">
        <v>1.0</v>
      </c>
      <c r="R18" s="100">
        <v>4.0</v>
      </c>
      <c r="S18" s="100">
        <v>0.0</v>
      </c>
      <c r="T18" s="100">
        <v>0.0</v>
      </c>
      <c r="U18" s="100">
        <v>0.0</v>
      </c>
      <c r="V18" s="100">
        <v>0.0</v>
      </c>
      <c r="W18" s="100">
        <v>0.0</v>
      </c>
      <c r="X18" s="100">
        <v>6933.0</v>
      </c>
      <c r="Y18" s="100">
        <v>7236.0</v>
      </c>
      <c r="Z18" s="100">
        <v>7236.0</v>
      </c>
      <c r="AA18" s="100">
        <v>7745.0</v>
      </c>
      <c r="AB18" s="100">
        <v>7744.0</v>
      </c>
      <c r="AC18" s="100">
        <v>7745.0</v>
      </c>
      <c r="AD18" s="100">
        <v>7745.0</v>
      </c>
      <c r="AE18" s="100">
        <v>8415.0</v>
      </c>
      <c r="AF18" s="100">
        <v>8415.0</v>
      </c>
      <c r="AG18" s="100">
        <v>8649.0</v>
      </c>
      <c r="AH18" s="100">
        <v>9.789689699E9</v>
      </c>
      <c r="AI18" s="100" t="s">
        <v>112</v>
      </c>
      <c r="AJ18" s="106">
        <v>0.0</v>
      </c>
    </row>
    <row r="19" ht="22.5" hidden="1" customHeight="1">
      <c r="A19" s="98">
        <v>46062.523362858796</v>
      </c>
      <c r="B19" s="100" t="s">
        <v>241</v>
      </c>
      <c r="C19" s="100" t="s">
        <v>242</v>
      </c>
      <c r="D19" s="100" t="s">
        <v>116</v>
      </c>
      <c r="E19" s="100" t="s">
        <v>16</v>
      </c>
      <c r="F19" s="100" t="s">
        <v>243</v>
      </c>
      <c r="G19" s="100" t="s">
        <v>244</v>
      </c>
      <c r="H19" s="100">
        <v>8.903620065E9</v>
      </c>
      <c r="I19" s="100" t="s">
        <v>33</v>
      </c>
      <c r="J19" s="100" t="s">
        <v>245</v>
      </c>
      <c r="K19" s="100" t="s">
        <v>206</v>
      </c>
      <c r="L19" s="100">
        <v>2000.0</v>
      </c>
      <c r="M19" s="100">
        <v>0.0</v>
      </c>
      <c r="N19" s="100">
        <v>3000.0</v>
      </c>
      <c r="O19" s="100">
        <v>53300.0</v>
      </c>
      <c r="P19" s="100">
        <v>4.0</v>
      </c>
      <c r="Q19" s="100">
        <v>1.0</v>
      </c>
      <c r="R19" s="100">
        <v>4.0</v>
      </c>
      <c r="S19" s="100">
        <v>0.0</v>
      </c>
      <c r="T19" s="100">
        <v>0.0</v>
      </c>
      <c r="U19" s="100">
        <v>0.0</v>
      </c>
      <c r="V19" s="100">
        <v>0.0</v>
      </c>
      <c r="W19" s="100">
        <v>0.0</v>
      </c>
      <c r="X19" s="100">
        <v>0.0</v>
      </c>
      <c r="Y19" s="100">
        <v>0.0</v>
      </c>
      <c r="Z19" s="100">
        <v>0.0</v>
      </c>
      <c r="AA19" s="100">
        <v>0.0</v>
      </c>
      <c r="AB19" s="100">
        <v>0.0</v>
      </c>
      <c r="AC19" s="100">
        <v>0.0</v>
      </c>
      <c r="AD19" s="100">
        <v>0.0</v>
      </c>
      <c r="AE19" s="100">
        <v>0.0</v>
      </c>
      <c r="AF19" s="100">
        <v>0.0</v>
      </c>
      <c r="AG19" s="100">
        <v>0.0</v>
      </c>
      <c r="AH19" s="100">
        <v>8.903620065E9</v>
      </c>
      <c r="AI19" s="100" t="s">
        <v>112</v>
      </c>
      <c r="AJ19" s="106">
        <v>0.0</v>
      </c>
    </row>
    <row r="20" ht="22.5" hidden="1" customHeight="1">
      <c r="A20" s="98">
        <v>46062.5366875</v>
      </c>
      <c r="B20" s="100" t="s">
        <v>250</v>
      </c>
      <c r="C20" s="100" t="s">
        <v>251</v>
      </c>
      <c r="D20" s="100" t="s">
        <v>116</v>
      </c>
      <c r="E20" s="100" t="s">
        <v>16</v>
      </c>
      <c r="F20" s="100" t="s">
        <v>252</v>
      </c>
      <c r="G20" s="100" t="s">
        <v>220</v>
      </c>
      <c r="H20" s="100">
        <v>9.02559717E9</v>
      </c>
      <c r="I20" s="100" t="s">
        <v>33</v>
      </c>
      <c r="J20" s="100" t="s">
        <v>253</v>
      </c>
      <c r="K20" s="100" t="s">
        <v>254</v>
      </c>
      <c r="L20" s="100">
        <v>2000.0</v>
      </c>
      <c r="M20" s="100">
        <v>0.0</v>
      </c>
      <c r="N20" s="100">
        <v>3000.0</v>
      </c>
      <c r="O20" s="100">
        <v>53300.0</v>
      </c>
      <c r="P20" s="100">
        <v>4.0</v>
      </c>
      <c r="Q20" s="100">
        <v>1.0</v>
      </c>
      <c r="R20" s="100">
        <v>4.0</v>
      </c>
      <c r="S20" s="100">
        <v>0.0</v>
      </c>
      <c r="T20" s="100">
        <v>1.0</v>
      </c>
      <c r="U20" s="100">
        <v>0.0</v>
      </c>
      <c r="V20" s="157" t="s">
        <v>255</v>
      </c>
      <c r="W20" s="100">
        <v>0.0</v>
      </c>
      <c r="X20" s="100">
        <v>0.0</v>
      </c>
      <c r="Y20" s="100">
        <v>0.0</v>
      </c>
      <c r="Z20" s="100">
        <v>0.0</v>
      </c>
      <c r="AA20" s="100">
        <v>0.0</v>
      </c>
      <c r="AB20" s="100">
        <v>0.0</v>
      </c>
      <c r="AC20" s="100">
        <v>0.0</v>
      </c>
      <c r="AD20" s="100">
        <v>0.0</v>
      </c>
      <c r="AE20" s="100">
        <v>0.0</v>
      </c>
      <c r="AF20" s="100">
        <v>0.0</v>
      </c>
      <c r="AG20" s="100">
        <v>0.0</v>
      </c>
      <c r="AH20" s="100">
        <v>9.02559717E9</v>
      </c>
      <c r="AI20" s="100" t="s">
        <v>112</v>
      </c>
      <c r="AJ20" s="106">
        <v>0.0</v>
      </c>
    </row>
    <row r="21" ht="22.5" hidden="1" customHeight="1">
      <c r="A21" s="98">
        <v>46062.574055081015</v>
      </c>
      <c r="B21" s="100" t="s">
        <v>258</v>
      </c>
      <c r="C21" s="100" t="s">
        <v>259</v>
      </c>
      <c r="D21" s="100" t="s">
        <v>116</v>
      </c>
      <c r="E21" s="100" t="s">
        <v>130</v>
      </c>
      <c r="F21" s="100" t="s">
        <v>261</v>
      </c>
      <c r="G21" s="100" t="s">
        <v>179</v>
      </c>
      <c r="H21" s="100">
        <v>9.994424377E9</v>
      </c>
      <c r="I21" s="100" t="s">
        <v>132</v>
      </c>
      <c r="J21" s="100" t="s">
        <v>262</v>
      </c>
      <c r="K21" s="100" t="s">
        <v>264</v>
      </c>
      <c r="L21" s="100">
        <v>0.0</v>
      </c>
      <c r="M21" s="100">
        <v>0.0</v>
      </c>
      <c r="N21" s="100">
        <v>0.0</v>
      </c>
      <c r="O21" s="100">
        <v>103200.0</v>
      </c>
      <c r="P21" s="100">
        <v>10.0</v>
      </c>
      <c r="Q21" s="100">
        <v>1.0</v>
      </c>
      <c r="R21" s="100">
        <v>4.0</v>
      </c>
      <c r="S21" s="100">
        <v>0.0</v>
      </c>
      <c r="T21" s="100">
        <v>1.0</v>
      </c>
      <c r="U21" s="100">
        <v>0.0</v>
      </c>
      <c r="V21" s="100">
        <v>0.0</v>
      </c>
      <c r="W21" s="100">
        <v>18720.0</v>
      </c>
      <c r="X21" s="100">
        <v>18720.0</v>
      </c>
      <c r="Y21" s="100">
        <v>15607.0</v>
      </c>
      <c r="Z21" s="100">
        <v>15607.0</v>
      </c>
      <c r="AA21" s="100">
        <v>15607.0</v>
      </c>
      <c r="AB21" s="100">
        <v>15607.0</v>
      </c>
      <c r="AC21" s="100">
        <v>15607.0</v>
      </c>
      <c r="AD21" s="100">
        <v>16607.0</v>
      </c>
      <c r="AE21" s="100">
        <v>17919.0</v>
      </c>
      <c r="AF21" s="100">
        <v>17919.0</v>
      </c>
      <c r="AG21" s="100">
        <v>17919.0</v>
      </c>
      <c r="AH21" s="100">
        <v>9.994424377E9</v>
      </c>
      <c r="AI21" s="100" t="s">
        <v>112</v>
      </c>
      <c r="AJ21" s="106">
        <v>0.0</v>
      </c>
    </row>
    <row r="22" ht="22.5" hidden="1" customHeight="1">
      <c r="A22" s="98">
        <v>46062.58487924769</v>
      </c>
      <c r="B22" s="100" t="s">
        <v>267</v>
      </c>
      <c r="C22" s="100" t="s">
        <v>268</v>
      </c>
      <c r="D22" s="100" t="s">
        <v>11</v>
      </c>
      <c r="E22" s="100" t="s">
        <v>130</v>
      </c>
      <c r="F22" s="100" t="s">
        <v>269</v>
      </c>
      <c r="G22" s="100" t="s">
        <v>204</v>
      </c>
      <c r="H22" s="100">
        <v>9.36054736E9</v>
      </c>
      <c r="I22" s="100" t="s">
        <v>33</v>
      </c>
      <c r="J22" s="100" t="s">
        <v>270</v>
      </c>
      <c r="K22" s="100" t="s">
        <v>236</v>
      </c>
      <c r="L22" s="100">
        <v>0.0</v>
      </c>
      <c r="M22" s="100">
        <v>0.0</v>
      </c>
      <c r="N22" s="100">
        <v>0.0</v>
      </c>
      <c r="O22" s="100">
        <v>67500.0</v>
      </c>
      <c r="P22" s="100">
        <v>10.0</v>
      </c>
      <c r="Q22" s="100">
        <v>1.0</v>
      </c>
      <c r="R22" s="100">
        <v>4.0</v>
      </c>
      <c r="S22" s="100">
        <v>0.0</v>
      </c>
      <c r="T22" s="100">
        <v>0.0</v>
      </c>
      <c r="U22" s="100">
        <v>0.0</v>
      </c>
      <c r="V22" s="100">
        <v>0.0</v>
      </c>
      <c r="W22" s="100">
        <v>0.0</v>
      </c>
      <c r="X22" s="100">
        <v>2660.0</v>
      </c>
      <c r="Y22" s="100">
        <v>4626.0</v>
      </c>
      <c r="Z22" s="100">
        <v>4626.0</v>
      </c>
      <c r="AA22" s="100">
        <v>4626.0</v>
      </c>
      <c r="AB22" s="100">
        <v>4626.0</v>
      </c>
      <c r="AC22" s="100">
        <v>4626.0</v>
      </c>
      <c r="AD22" s="100">
        <v>7850.0</v>
      </c>
      <c r="AE22" s="100">
        <v>10273.0</v>
      </c>
      <c r="AF22" s="100">
        <v>10273.0</v>
      </c>
      <c r="AG22" s="100">
        <v>10273.0</v>
      </c>
      <c r="AH22" s="100">
        <v>9.36054736E9</v>
      </c>
      <c r="AI22" s="100" t="s">
        <v>112</v>
      </c>
      <c r="AJ22" s="106">
        <v>0.0</v>
      </c>
    </row>
    <row r="23" ht="22.5" hidden="1" customHeight="1">
      <c r="A23" s="98">
        <v>46062.59151288195</v>
      </c>
      <c r="B23" s="100" t="s">
        <v>275</v>
      </c>
      <c r="C23" s="100" t="s">
        <v>276</v>
      </c>
      <c r="D23" s="100" t="s">
        <v>116</v>
      </c>
      <c r="E23" s="100" t="s">
        <v>140</v>
      </c>
      <c r="F23" s="100" t="s">
        <v>277</v>
      </c>
      <c r="G23" s="100" t="s">
        <v>278</v>
      </c>
      <c r="H23" s="100">
        <v>8.428299993E9</v>
      </c>
      <c r="I23" s="100" t="s">
        <v>132</v>
      </c>
      <c r="J23" s="100" t="s">
        <v>279</v>
      </c>
      <c r="K23" s="100" t="s">
        <v>190</v>
      </c>
      <c r="L23" s="100">
        <v>0.0</v>
      </c>
      <c r="M23" s="100">
        <v>0.0</v>
      </c>
      <c r="N23" s="100">
        <v>0.0</v>
      </c>
      <c r="O23" s="100">
        <v>60300.0</v>
      </c>
      <c r="P23" s="100">
        <v>10.0</v>
      </c>
      <c r="Q23" s="100">
        <v>1.0</v>
      </c>
      <c r="R23" s="100">
        <v>4.0</v>
      </c>
      <c r="S23" s="100">
        <v>0.0</v>
      </c>
      <c r="T23" s="100">
        <v>1.0</v>
      </c>
      <c r="U23" s="100">
        <v>0.0</v>
      </c>
      <c r="V23" s="100">
        <v>0.0</v>
      </c>
      <c r="W23" s="100">
        <v>5720.0</v>
      </c>
      <c r="X23" s="100">
        <v>5720.0</v>
      </c>
      <c r="Y23" s="100">
        <v>0.0</v>
      </c>
      <c r="Z23" s="100">
        <v>0.0</v>
      </c>
      <c r="AA23" s="100">
        <v>0.0</v>
      </c>
      <c r="AB23" s="100">
        <v>0.0</v>
      </c>
      <c r="AC23" s="100">
        <v>0.0</v>
      </c>
      <c r="AD23" s="100">
        <v>0.0</v>
      </c>
      <c r="AE23" s="100">
        <v>0.0</v>
      </c>
      <c r="AF23" s="100">
        <v>0.0</v>
      </c>
      <c r="AG23" s="100">
        <v>0.0</v>
      </c>
      <c r="AH23" s="100">
        <v>8.428299992E9</v>
      </c>
      <c r="AI23" s="100" t="s">
        <v>112</v>
      </c>
      <c r="AJ23" s="106">
        <v>0.0</v>
      </c>
    </row>
    <row r="24" ht="22.5" customHeight="1">
      <c r="A24" s="98">
        <v>46062.62282815972</v>
      </c>
      <c r="B24" s="100" t="s">
        <v>281</v>
      </c>
      <c r="C24" s="100" t="s">
        <v>282</v>
      </c>
      <c r="D24" s="100" t="s">
        <v>11</v>
      </c>
      <c r="E24" s="100" t="s">
        <v>16</v>
      </c>
      <c r="F24" s="100" t="s">
        <v>284</v>
      </c>
      <c r="G24" s="100" t="s">
        <v>285</v>
      </c>
      <c r="H24" s="100">
        <v>9.600576563E9</v>
      </c>
      <c r="I24" s="100" t="s">
        <v>33</v>
      </c>
      <c r="J24" s="100" t="s">
        <v>287</v>
      </c>
      <c r="K24" s="100" t="s">
        <v>288</v>
      </c>
      <c r="L24" s="100">
        <v>2000.0</v>
      </c>
      <c r="M24" s="100">
        <v>1000.0</v>
      </c>
      <c r="N24" s="100">
        <v>3000.0</v>
      </c>
      <c r="O24" s="100">
        <v>36200.0</v>
      </c>
      <c r="P24" s="100">
        <v>10.0</v>
      </c>
      <c r="Q24" s="100">
        <v>1.0</v>
      </c>
      <c r="R24" s="100">
        <v>4.0</v>
      </c>
      <c r="S24" s="100">
        <v>0.0</v>
      </c>
      <c r="T24" s="100">
        <v>11.0</v>
      </c>
      <c r="U24" s="100">
        <v>0.0</v>
      </c>
      <c r="V24" s="100">
        <v>0.0</v>
      </c>
      <c r="W24" s="100">
        <v>0.0</v>
      </c>
      <c r="X24" s="100">
        <v>0.0</v>
      </c>
      <c r="Y24" s="100">
        <v>0.0</v>
      </c>
      <c r="Z24" s="100">
        <v>0.0</v>
      </c>
      <c r="AA24" s="100">
        <v>0.0</v>
      </c>
      <c r="AB24" s="100">
        <v>0.0</v>
      </c>
      <c r="AC24" s="100">
        <v>0.0</v>
      </c>
      <c r="AD24" s="100">
        <v>0.0</v>
      </c>
      <c r="AE24" s="100">
        <v>0.0</v>
      </c>
      <c r="AF24" s="100">
        <v>4826.0</v>
      </c>
      <c r="AG24" s="100">
        <v>0.0</v>
      </c>
      <c r="AH24" s="100">
        <v>9.600576563E9</v>
      </c>
      <c r="AI24" s="100" t="s">
        <v>112</v>
      </c>
      <c r="AJ24" s="106">
        <v>27.0</v>
      </c>
    </row>
    <row r="25" ht="22.5" hidden="1" customHeight="1">
      <c r="A25" s="98">
        <v>46062.63973216435</v>
      </c>
      <c r="B25" s="100" t="s">
        <v>289</v>
      </c>
      <c r="C25" s="100" t="s">
        <v>290</v>
      </c>
      <c r="D25" s="100" t="s">
        <v>116</v>
      </c>
      <c r="E25" s="100" t="s">
        <v>16</v>
      </c>
      <c r="F25" s="100" t="s">
        <v>291</v>
      </c>
      <c r="G25" s="100" t="s">
        <v>292</v>
      </c>
      <c r="H25" s="100">
        <v>9.786364808E9</v>
      </c>
      <c r="I25" s="100" t="s">
        <v>33</v>
      </c>
      <c r="J25" s="100" t="s">
        <v>293</v>
      </c>
      <c r="K25" s="100" t="s">
        <v>294</v>
      </c>
      <c r="L25" s="100">
        <v>2000.0</v>
      </c>
      <c r="M25" s="100">
        <v>0.0</v>
      </c>
      <c r="N25" s="100">
        <v>3000.0</v>
      </c>
      <c r="O25" s="100">
        <v>34100.0</v>
      </c>
      <c r="P25" s="100">
        <v>1.0</v>
      </c>
      <c r="Q25" s="100">
        <v>1.0</v>
      </c>
      <c r="R25" s="100">
        <v>2.0</v>
      </c>
      <c r="S25" s="100">
        <v>0.0</v>
      </c>
      <c r="T25" s="100">
        <v>0.0</v>
      </c>
      <c r="U25" s="100">
        <v>0.0</v>
      </c>
      <c r="V25" s="100">
        <v>1.0</v>
      </c>
      <c r="W25" s="100">
        <v>0.0</v>
      </c>
      <c r="X25" s="100">
        <v>0.0</v>
      </c>
      <c r="Y25" s="100">
        <v>0.0</v>
      </c>
      <c r="Z25" s="100">
        <v>0.0</v>
      </c>
      <c r="AA25" s="100">
        <v>0.0</v>
      </c>
      <c r="AB25" s="100">
        <v>0.0</v>
      </c>
      <c r="AC25" s="100">
        <v>0.0</v>
      </c>
      <c r="AD25" s="100">
        <v>0.0</v>
      </c>
      <c r="AE25" s="100">
        <v>0.0</v>
      </c>
      <c r="AF25" s="100">
        <v>0.0</v>
      </c>
      <c r="AG25" s="100">
        <v>0.0</v>
      </c>
      <c r="AH25" s="100">
        <v>9.786364808E9</v>
      </c>
      <c r="AI25" s="100" t="s">
        <v>112</v>
      </c>
      <c r="AJ25" s="106">
        <v>2.0</v>
      </c>
    </row>
    <row r="26" ht="22.5" customHeight="1">
      <c r="A26" s="98">
        <v>46062.647605844904</v>
      </c>
      <c r="B26" s="100" t="s">
        <v>295</v>
      </c>
      <c r="C26" s="100" t="s">
        <v>296</v>
      </c>
      <c r="D26" s="100" t="s">
        <v>116</v>
      </c>
      <c r="E26" s="100" t="s">
        <v>16</v>
      </c>
      <c r="F26" s="100" t="s">
        <v>297</v>
      </c>
      <c r="G26" s="100" t="s">
        <v>285</v>
      </c>
      <c r="H26" s="100">
        <v>9.894370723E9</v>
      </c>
      <c r="I26" s="100" t="s">
        <v>144</v>
      </c>
      <c r="J26" s="100" t="s">
        <v>298</v>
      </c>
      <c r="K26" s="100" t="s">
        <v>288</v>
      </c>
      <c r="L26" s="100">
        <v>2000.0</v>
      </c>
      <c r="M26" s="100">
        <v>0.0</v>
      </c>
      <c r="N26" s="100">
        <v>3000.0</v>
      </c>
      <c r="O26" s="100">
        <v>32100.0</v>
      </c>
      <c r="P26" s="100">
        <v>10.0</v>
      </c>
      <c r="Q26" s="100">
        <v>1.0</v>
      </c>
      <c r="R26" s="100">
        <v>4.0</v>
      </c>
      <c r="S26" s="100">
        <v>0.0</v>
      </c>
      <c r="T26" s="100">
        <v>0.0</v>
      </c>
      <c r="U26" s="100">
        <v>0.0</v>
      </c>
      <c r="V26" s="100">
        <v>0.0</v>
      </c>
      <c r="W26" s="100">
        <v>0.0</v>
      </c>
      <c r="X26" s="100">
        <v>0.0</v>
      </c>
      <c r="Y26" s="100">
        <v>0.0</v>
      </c>
      <c r="Z26" s="100">
        <v>0.0</v>
      </c>
      <c r="AA26" s="100">
        <v>0.0</v>
      </c>
      <c r="AB26" s="100">
        <v>0.0</v>
      </c>
      <c r="AC26" s="100">
        <v>0.0</v>
      </c>
      <c r="AD26" s="100">
        <v>0.0</v>
      </c>
      <c r="AE26" s="100">
        <v>0.0</v>
      </c>
      <c r="AF26" s="100">
        <v>0.0</v>
      </c>
      <c r="AG26" s="100">
        <v>0.0</v>
      </c>
      <c r="AH26" s="100">
        <v>9.894370723E9</v>
      </c>
      <c r="AI26" s="100" t="s">
        <v>112</v>
      </c>
      <c r="AJ26" s="106">
        <v>27.0</v>
      </c>
    </row>
    <row r="27" ht="22.5" customHeight="1">
      <c r="A27" s="98">
        <v>46062.66193079861</v>
      </c>
      <c r="B27" s="100" t="s">
        <v>299</v>
      </c>
      <c r="C27" s="100" t="s">
        <v>301</v>
      </c>
      <c r="D27" s="100" t="s">
        <v>116</v>
      </c>
      <c r="E27" s="100" t="s">
        <v>16</v>
      </c>
      <c r="F27" s="100" t="s">
        <v>302</v>
      </c>
      <c r="G27" s="100" t="s">
        <v>285</v>
      </c>
      <c r="H27" s="100">
        <v>8.24820634E9</v>
      </c>
      <c r="I27" s="100" t="s">
        <v>33</v>
      </c>
      <c r="J27" s="100" t="s">
        <v>303</v>
      </c>
      <c r="K27" s="100" t="s">
        <v>304</v>
      </c>
      <c r="L27" s="100">
        <v>2000.0</v>
      </c>
      <c r="M27" s="100">
        <v>0.0</v>
      </c>
      <c r="N27" s="100">
        <v>3000.0</v>
      </c>
      <c r="O27" s="100">
        <v>33100.0</v>
      </c>
      <c r="P27" s="100">
        <v>4.0</v>
      </c>
      <c r="Q27" s="100">
        <v>1.0</v>
      </c>
      <c r="R27" s="100">
        <v>4.0</v>
      </c>
      <c r="S27" s="100">
        <v>0.0</v>
      </c>
      <c r="T27" s="100">
        <v>0.0</v>
      </c>
      <c r="U27" s="100">
        <v>0.0</v>
      </c>
      <c r="AH27" s="100">
        <v>8.24820634E9</v>
      </c>
      <c r="AI27" s="100" t="s">
        <v>112</v>
      </c>
      <c r="AJ27" s="106">
        <v>27.0</v>
      </c>
    </row>
    <row r="28" ht="22.5" customHeight="1">
      <c r="A28" s="98">
        <v>46064.57206561342</v>
      </c>
      <c r="B28" s="100" t="s">
        <v>305</v>
      </c>
      <c r="C28" s="100" t="s">
        <v>306</v>
      </c>
      <c r="D28" s="100" t="s">
        <v>116</v>
      </c>
      <c r="E28" s="100" t="s">
        <v>16</v>
      </c>
      <c r="F28" s="100" t="s">
        <v>307</v>
      </c>
      <c r="G28" s="100" t="s">
        <v>308</v>
      </c>
      <c r="H28" s="100">
        <v>6.379744881E9</v>
      </c>
      <c r="I28" s="100" t="s">
        <v>33</v>
      </c>
      <c r="J28" s="100" t="s">
        <v>309</v>
      </c>
      <c r="K28" s="100" t="s">
        <v>310</v>
      </c>
      <c r="L28" s="100">
        <v>2000.0</v>
      </c>
      <c r="M28" s="100">
        <v>0.0</v>
      </c>
      <c r="N28" s="100">
        <v>3000.0</v>
      </c>
      <c r="O28" s="100">
        <v>36200.0</v>
      </c>
      <c r="P28" s="100">
        <v>10.0</v>
      </c>
      <c r="Q28" s="100">
        <v>1.0</v>
      </c>
      <c r="R28" s="100">
        <v>4.0</v>
      </c>
      <c r="S28" s="100">
        <v>0.0</v>
      </c>
      <c r="T28" s="100">
        <v>0.0</v>
      </c>
      <c r="U28" s="100">
        <v>0.0</v>
      </c>
      <c r="V28" s="100">
        <v>0.0</v>
      </c>
      <c r="W28" s="100">
        <v>0.0</v>
      </c>
      <c r="X28" s="100">
        <v>0.0</v>
      </c>
      <c r="Y28" s="100">
        <v>0.0</v>
      </c>
      <c r="Z28" s="100">
        <v>0.0</v>
      </c>
      <c r="AA28" s="100">
        <v>0.0</v>
      </c>
      <c r="AB28" s="100">
        <v>0.0</v>
      </c>
      <c r="AC28" s="100">
        <v>0.0</v>
      </c>
      <c r="AD28" s="100">
        <v>0.0</v>
      </c>
      <c r="AE28" s="100">
        <v>0.0</v>
      </c>
      <c r="AF28" s="100">
        <v>0.0</v>
      </c>
      <c r="AG28" s="100">
        <v>0.0</v>
      </c>
      <c r="AH28" s="100">
        <v>6.379744881E9</v>
      </c>
      <c r="AI28" s="100" t="s">
        <v>112</v>
      </c>
      <c r="AJ28" s="106">
        <v>27.0</v>
      </c>
    </row>
    <row r="29" ht="22.5" customHeight="1">
      <c r="A29" s="98">
        <v>46063.460334710646</v>
      </c>
      <c r="B29" s="100" t="s">
        <v>313</v>
      </c>
      <c r="C29" s="100" t="s">
        <v>314</v>
      </c>
      <c r="D29" s="100" t="s">
        <v>116</v>
      </c>
      <c r="E29" s="100" t="s">
        <v>16</v>
      </c>
      <c r="F29" s="100" t="s">
        <v>315</v>
      </c>
      <c r="G29" s="100" t="s">
        <v>179</v>
      </c>
      <c r="H29" s="100">
        <v>7.871480675E9</v>
      </c>
      <c r="I29" s="100" t="s">
        <v>132</v>
      </c>
      <c r="J29" s="100" t="s">
        <v>317</v>
      </c>
      <c r="K29" s="100" t="s">
        <v>318</v>
      </c>
      <c r="L29" s="100">
        <v>2000.0</v>
      </c>
      <c r="M29" s="100">
        <v>0.0</v>
      </c>
      <c r="N29" s="100">
        <v>3000.0</v>
      </c>
      <c r="O29" s="100">
        <v>37300.0</v>
      </c>
      <c r="P29" s="100">
        <v>7.0</v>
      </c>
      <c r="Q29" s="100">
        <v>1.0</v>
      </c>
      <c r="R29" s="100">
        <v>3.0</v>
      </c>
      <c r="S29" s="100">
        <v>0.0</v>
      </c>
      <c r="T29" s="100">
        <v>0.0</v>
      </c>
      <c r="AH29" s="100">
        <v>7.871480675E9</v>
      </c>
      <c r="AI29" s="100" t="s">
        <v>112</v>
      </c>
      <c r="AJ29" s="106">
        <v>27.0</v>
      </c>
    </row>
    <row r="30" ht="22.5" customHeight="1">
      <c r="A30" s="98">
        <v>46062.65866731481</v>
      </c>
      <c r="B30" s="100" t="s">
        <v>319</v>
      </c>
      <c r="C30" s="100" t="s">
        <v>320</v>
      </c>
      <c r="D30" s="100" t="s">
        <v>116</v>
      </c>
      <c r="E30" s="100" t="s">
        <v>16</v>
      </c>
      <c r="F30" s="100" t="s">
        <v>321</v>
      </c>
      <c r="G30" s="100" t="s">
        <v>285</v>
      </c>
      <c r="H30" s="100">
        <v>9.600303288E9</v>
      </c>
      <c r="I30" s="100" t="s">
        <v>33</v>
      </c>
      <c r="J30" s="100" t="s">
        <v>322</v>
      </c>
      <c r="K30" s="100" t="s">
        <v>310</v>
      </c>
      <c r="L30" s="100">
        <v>2000.0</v>
      </c>
      <c r="M30" s="100">
        <v>1000.0</v>
      </c>
      <c r="N30" s="100">
        <v>3000.0</v>
      </c>
      <c r="O30" s="100">
        <v>32100.0</v>
      </c>
      <c r="P30" s="100">
        <v>10.0</v>
      </c>
      <c r="Q30" s="100">
        <v>1.0</v>
      </c>
      <c r="R30" s="100">
        <v>3.0</v>
      </c>
      <c r="S30" s="100">
        <v>0.0</v>
      </c>
      <c r="T30" s="100">
        <v>12.0</v>
      </c>
      <c r="U30" s="100">
        <v>0.0</v>
      </c>
      <c r="V30" s="100">
        <v>0.0</v>
      </c>
      <c r="W30" s="100">
        <v>0.0</v>
      </c>
      <c r="X30" s="100">
        <v>0.0</v>
      </c>
      <c r="Y30" s="100">
        <v>0.0</v>
      </c>
      <c r="Z30" s="100">
        <v>0.0</v>
      </c>
      <c r="AA30" s="100">
        <v>0.0</v>
      </c>
      <c r="AB30" s="100">
        <v>0.0</v>
      </c>
      <c r="AC30" s="100">
        <v>0.0</v>
      </c>
      <c r="AD30" s="100">
        <v>0.0</v>
      </c>
      <c r="AE30" s="100">
        <v>0.0</v>
      </c>
      <c r="AF30" s="100">
        <v>0.0</v>
      </c>
      <c r="AG30" s="100">
        <v>0.0</v>
      </c>
      <c r="AH30" s="100">
        <v>9.600303288E9</v>
      </c>
      <c r="AI30" s="100" t="s">
        <v>112</v>
      </c>
      <c r="AJ30" s="106">
        <v>27.0</v>
      </c>
    </row>
    <row r="31" ht="22.5" customHeight="1">
      <c r="A31" s="98">
        <v>46063.43762820602</v>
      </c>
      <c r="B31" s="100" t="s">
        <v>323</v>
      </c>
      <c r="C31" s="100" t="s">
        <v>324</v>
      </c>
      <c r="D31" s="100" t="s">
        <v>116</v>
      </c>
      <c r="E31" s="100" t="s">
        <v>16</v>
      </c>
      <c r="F31" s="100" t="s">
        <v>325</v>
      </c>
      <c r="G31" s="100" t="s">
        <v>179</v>
      </c>
      <c r="H31" s="100">
        <v>9.842026923E9</v>
      </c>
      <c r="I31" s="100" t="s">
        <v>132</v>
      </c>
      <c r="J31" s="100" t="s">
        <v>326</v>
      </c>
      <c r="K31" s="100" t="s">
        <v>327</v>
      </c>
      <c r="L31" s="100">
        <v>2000.0</v>
      </c>
      <c r="M31" s="100">
        <v>0.0</v>
      </c>
      <c r="N31" s="100">
        <v>3000.0</v>
      </c>
      <c r="O31" s="100">
        <v>37300.0</v>
      </c>
      <c r="P31" s="100">
        <v>10.0</v>
      </c>
      <c r="Q31" s="100">
        <v>1.0</v>
      </c>
      <c r="R31" s="100">
        <v>4.0</v>
      </c>
      <c r="S31" s="100">
        <v>0.0</v>
      </c>
      <c r="T31" s="100">
        <v>0.0</v>
      </c>
      <c r="U31" s="100">
        <v>0.0</v>
      </c>
      <c r="V31" s="100">
        <v>0.0</v>
      </c>
      <c r="W31" s="100">
        <v>0.0</v>
      </c>
      <c r="X31" s="100">
        <v>0.0</v>
      </c>
      <c r="Y31" s="100">
        <v>0.0</v>
      </c>
      <c r="Z31" s="100">
        <v>0.0</v>
      </c>
      <c r="AA31" s="100">
        <v>0.0</v>
      </c>
      <c r="AB31" s="100">
        <v>0.0</v>
      </c>
      <c r="AC31" s="100">
        <v>0.0</v>
      </c>
      <c r="AD31" s="100">
        <v>0.0</v>
      </c>
      <c r="AE31" s="100">
        <v>0.0</v>
      </c>
      <c r="AF31" s="100">
        <v>0.0</v>
      </c>
      <c r="AG31" s="100">
        <v>0.0</v>
      </c>
      <c r="AH31" s="100">
        <v>9.842026923E9</v>
      </c>
      <c r="AI31" s="100" t="s">
        <v>112</v>
      </c>
      <c r="AJ31" s="106">
        <v>27.0</v>
      </c>
    </row>
    <row r="32" ht="22.5" hidden="1" customHeight="1">
      <c r="A32" s="98">
        <v>46063.446203287036</v>
      </c>
      <c r="B32" s="100" t="s">
        <v>328</v>
      </c>
      <c r="C32" s="100" t="s">
        <v>329</v>
      </c>
      <c r="D32" s="100" t="s">
        <v>116</v>
      </c>
      <c r="E32" s="100" t="s">
        <v>16</v>
      </c>
      <c r="F32" s="100" t="s">
        <v>330</v>
      </c>
      <c r="G32" s="100">
        <v>4.3020535555E10</v>
      </c>
      <c r="H32" s="100">
        <v>8.754929271E9</v>
      </c>
      <c r="I32" s="100" t="s">
        <v>144</v>
      </c>
      <c r="J32" s="100" t="s">
        <v>331</v>
      </c>
      <c r="K32" s="100" t="s">
        <v>332</v>
      </c>
      <c r="L32" s="100">
        <v>2000.0</v>
      </c>
      <c r="M32" s="100">
        <v>0.0</v>
      </c>
      <c r="N32" s="100">
        <v>3000.0</v>
      </c>
      <c r="O32" s="100">
        <v>28500.0</v>
      </c>
      <c r="P32" s="100">
        <v>7.0</v>
      </c>
      <c r="Q32" s="100">
        <v>0.0</v>
      </c>
      <c r="R32" s="100">
        <v>1.0</v>
      </c>
      <c r="S32" s="100">
        <v>2500.0</v>
      </c>
      <c r="T32" s="100">
        <v>10.0</v>
      </c>
      <c r="U32" s="100">
        <v>19737.0</v>
      </c>
      <c r="V32" s="100">
        <v>3.0</v>
      </c>
      <c r="W32" s="100">
        <v>0.0</v>
      </c>
      <c r="X32" s="100">
        <v>0.0</v>
      </c>
      <c r="Y32" s="100">
        <v>0.0</v>
      </c>
      <c r="Z32" s="100">
        <v>0.0</v>
      </c>
      <c r="AA32" s="100">
        <v>0.0</v>
      </c>
      <c r="AB32" s="100">
        <v>0.0</v>
      </c>
      <c r="AC32" s="100">
        <v>0.0</v>
      </c>
      <c r="AD32" s="100">
        <v>0.0</v>
      </c>
      <c r="AF32" s="100">
        <v>0.0</v>
      </c>
      <c r="AG32" s="100">
        <v>0.0</v>
      </c>
      <c r="AH32" s="100">
        <v>6.374666907E9</v>
      </c>
      <c r="AI32" s="100" t="s">
        <v>112</v>
      </c>
      <c r="AJ32" s="106">
        <v>20.0</v>
      </c>
    </row>
    <row r="33" ht="22.5" customHeight="1">
      <c r="A33" s="98">
        <v>46063.457853368054</v>
      </c>
      <c r="B33" s="100" t="s">
        <v>333</v>
      </c>
      <c r="C33" s="100" t="s">
        <v>334</v>
      </c>
      <c r="D33" s="100" t="s">
        <v>116</v>
      </c>
      <c r="E33" s="100" t="s">
        <v>16</v>
      </c>
      <c r="F33" s="100" t="s">
        <v>335</v>
      </c>
      <c r="G33" s="100" t="s">
        <v>179</v>
      </c>
      <c r="H33" s="100">
        <v>9.500250551E9</v>
      </c>
      <c r="I33" s="100" t="s">
        <v>132</v>
      </c>
      <c r="J33" s="100" t="s">
        <v>336</v>
      </c>
      <c r="K33" s="100" t="s">
        <v>318</v>
      </c>
      <c r="L33" s="100">
        <v>2000.0</v>
      </c>
      <c r="M33" s="100">
        <v>0.0</v>
      </c>
      <c r="N33" s="100">
        <v>3000.0</v>
      </c>
      <c r="O33" s="100">
        <v>39600.0</v>
      </c>
      <c r="P33" s="100">
        <v>7.0</v>
      </c>
      <c r="Q33" s="100">
        <v>1.0</v>
      </c>
      <c r="R33" s="100">
        <v>3.0</v>
      </c>
      <c r="S33" s="100">
        <v>0.0</v>
      </c>
      <c r="T33" s="100">
        <v>12.0</v>
      </c>
      <c r="AH33" s="100">
        <v>9.500250551E9</v>
      </c>
      <c r="AI33" s="100" t="s">
        <v>112</v>
      </c>
      <c r="AJ33" s="106">
        <v>27.0</v>
      </c>
    </row>
    <row r="34" ht="22.5" hidden="1" customHeight="1">
      <c r="A34" s="98">
        <v>46063.689122870375</v>
      </c>
      <c r="B34" s="100" t="s">
        <v>337</v>
      </c>
      <c r="C34" s="100" t="s">
        <v>338</v>
      </c>
      <c r="D34" s="100" t="s">
        <v>11</v>
      </c>
      <c r="E34" s="100" t="s">
        <v>16</v>
      </c>
      <c r="F34" s="100" t="s">
        <v>339</v>
      </c>
      <c r="G34" s="100">
        <v>0.0</v>
      </c>
      <c r="H34" s="100">
        <v>9.787762252E9</v>
      </c>
      <c r="I34" s="100" t="s">
        <v>144</v>
      </c>
      <c r="J34" s="100" t="s">
        <v>340</v>
      </c>
      <c r="K34" s="100" t="s">
        <v>341</v>
      </c>
      <c r="L34" s="100">
        <v>2000.0</v>
      </c>
      <c r="M34" s="100">
        <v>0.0</v>
      </c>
      <c r="N34" s="100">
        <v>3000.0</v>
      </c>
      <c r="O34" s="100">
        <v>35100.0</v>
      </c>
      <c r="P34" s="100">
        <v>7.0</v>
      </c>
      <c r="Q34" s="100">
        <v>0.0</v>
      </c>
      <c r="R34" s="100">
        <v>1.0</v>
      </c>
      <c r="S34" s="100">
        <v>0.0</v>
      </c>
      <c r="T34" s="100">
        <v>0.0</v>
      </c>
      <c r="AH34" s="100">
        <v>9.787762252E9</v>
      </c>
      <c r="AI34" s="100" t="s">
        <v>112</v>
      </c>
      <c r="AJ34" s="106">
        <v>25.0</v>
      </c>
    </row>
    <row r="35" ht="22.5" customHeight="1">
      <c r="A35" s="98">
        <v>46063.93364314815</v>
      </c>
      <c r="B35" s="100" t="s">
        <v>342</v>
      </c>
      <c r="C35" s="100" t="s">
        <v>343</v>
      </c>
      <c r="D35" s="100" t="s">
        <v>116</v>
      </c>
      <c r="E35" s="100" t="s">
        <v>16</v>
      </c>
      <c r="F35" s="100" t="s">
        <v>344</v>
      </c>
      <c r="G35" s="100" t="s">
        <v>345</v>
      </c>
      <c r="H35" s="100">
        <v>7.402496307E9</v>
      </c>
      <c r="I35" s="100" t="s">
        <v>33</v>
      </c>
      <c r="J35" s="100" t="s">
        <v>346</v>
      </c>
      <c r="K35" s="100" t="s">
        <v>347</v>
      </c>
      <c r="L35" s="100">
        <v>2000.0</v>
      </c>
      <c r="M35" s="100">
        <v>1000.0</v>
      </c>
      <c r="N35" s="100">
        <v>3000.0</v>
      </c>
      <c r="O35" s="100">
        <v>32100.0</v>
      </c>
      <c r="P35" s="100">
        <v>10.0</v>
      </c>
      <c r="Q35" s="100">
        <v>0.0</v>
      </c>
      <c r="R35" s="100">
        <v>3.0</v>
      </c>
      <c r="S35" s="100">
        <v>0.0</v>
      </c>
      <c r="T35" s="100">
        <v>1.0</v>
      </c>
      <c r="AG35" s="100">
        <v>0.0</v>
      </c>
      <c r="AH35" s="100">
        <v>9.84232018E9</v>
      </c>
      <c r="AI35" s="100" t="s">
        <v>112</v>
      </c>
      <c r="AJ35" s="106">
        <v>27.0</v>
      </c>
    </row>
    <row r="36" ht="22.5" customHeight="1">
      <c r="A36" s="98">
        <v>46070.528851944444</v>
      </c>
      <c r="B36" s="100" t="s">
        <v>348</v>
      </c>
      <c r="C36" s="100" t="s">
        <v>349</v>
      </c>
      <c r="D36" s="100" t="s">
        <v>116</v>
      </c>
      <c r="E36" s="100" t="s">
        <v>16</v>
      </c>
      <c r="F36" s="100" t="s">
        <v>350</v>
      </c>
      <c r="G36" s="100" t="s">
        <v>351</v>
      </c>
      <c r="H36" s="100">
        <v>9.677692938E9</v>
      </c>
      <c r="I36" s="100" t="s">
        <v>33</v>
      </c>
      <c r="J36" s="100" t="s">
        <v>352</v>
      </c>
      <c r="K36" s="100" t="s">
        <v>353</v>
      </c>
      <c r="L36" s="100">
        <v>2000.0</v>
      </c>
      <c r="M36" s="100">
        <v>1000.0</v>
      </c>
      <c r="N36" s="100">
        <v>3000.0</v>
      </c>
      <c r="O36" s="100">
        <v>28500.0</v>
      </c>
      <c r="P36" s="100">
        <v>7.0</v>
      </c>
      <c r="Q36" s="100">
        <v>0.0</v>
      </c>
      <c r="R36" s="100">
        <v>3.0</v>
      </c>
      <c r="S36" s="100">
        <v>0.0</v>
      </c>
      <c r="T36" s="100">
        <v>10.0</v>
      </c>
      <c r="U36" s="100">
        <v>18679.0</v>
      </c>
      <c r="V36" s="100">
        <v>4.0</v>
      </c>
      <c r="W36" s="100">
        <v>0.0</v>
      </c>
      <c r="X36" s="100">
        <v>0.0</v>
      </c>
      <c r="Y36" s="100">
        <v>0.0</v>
      </c>
      <c r="Z36" s="100">
        <v>0.0</v>
      </c>
      <c r="AA36" s="100">
        <v>0.0</v>
      </c>
      <c r="AB36" s="100">
        <v>0.0</v>
      </c>
      <c r="AC36" s="100">
        <v>0.0</v>
      </c>
      <c r="AD36" s="100">
        <v>0.0</v>
      </c>
      <c r="AE36" s="100">
        <v>0.0</v>
      </c>
      <c r="AF36" s="100">
        <v>0.0</v>
      </c>
      <c r="AG36" s="100">
        <v>0.0</v>
      </c>
      <c r="AH36" s="100">
        <v>9.944226178E9</v>
      </c>
      <c r="AI36" s="100" t="s">
        <v>112</v>
      </c>
      <c r="AJ36" s="106">
        <v>27.0</v>
      </c>
    </row>
    <row r="37" ht="22.5" hidden="1" customHeight="1">
      <c r="A37" s="98">
        <v>46067.41209168981</v>
      </c>
      <c r="B37" s="100" t="s">
        <v>354</v>
      </c>
      <c r="C37" s="100" t="s">
        <v>355</v>
      </c>
      <c r="D37" s="100" t="s">
        <v>116</v>
      </c>
      <c r="E37" s="100" t="s">
        <v>16</v>
      </c>
      <c r="F37" s="100" t="s">
        <v>356</v>
      </c>
      <c r="G37" s="100" t="s">
        <v>357</v>
      </c>
      <c r="H37" s="100">
        <v>9.715249332E9</v>
      </c>
      <c r="I37" s="100" t="s">
        <v>358</v>
      </c>
      <c r="J37" s="100" t="s">
        <v>359</v>
      </c>
      <c r="K37" s="100" t="s">
        <v>360</v>
      </c>
      <c r="L37" s="100">
        <v>2000.0</v>
      </c>
      <c r="M37" s="100">
        <v>0.0</v>
      </c>
      <c r="N37" s="100">
        <v>3000.0</v>
      </c>
      <c r="O37" s="100">
        <v>67500.0</v>
      </c>
      <c r="P37" s="100">
        <v>4.0</v>
      </c>
      <c r="Q37" s="100">
        <v>2.0</v>
      </c>
      <c r="R37" s="100">
        <v>5.0</v>
      </c>
      <c r="S37" s="100">
        <v>0.0</v>
      </c>
      <c r="T37" s="100">
        <v>0.0</v>
      </c>
      <c r="U37" s="100">
        <v>0.0</v>
      </c>
      <c r="V37" s="100">
        <v>0.0</v>
      </c>
      <c r="W37" s="100">
        <v>0.0</v>
      </c>
      <c r="X37" s="100">
        <v>7652.0</v>
      </c>
      <c r="Y37" s="100">
        <v>7954.0</v>
      </c>
      <c r="Z37" s="100">
        <v>7954.0</v>
      </c>
      <c r="AA37" s="100">
        <v>7954.0</v>
      </c>
      <c r="AB37" s="100">
        <v>7954.0</v>
      </c>
      <c r="AC37" s="100">
        <v>7954.0</v>
      </c>
      <c r="AD37" s="100">
        <v>7953.0</v>
      </c>
      <c r="AE37" s="100">
        <v>8604.0</v>
      </c>
      <c r="AF37" s="100">
        <v>8604.0</v>
      </c>
      <c r="AG37" s="100">
        <v>8838.0</v>
      </c>
      <c r="AH37" s="100">
        <v>9.715249332E9</v>
      </c>
      <c r="AI37" s="100" t="s">
        <v>112</v>
      </c>
      <c r="AJ37" s="106">
        <v>0.0</v>
      </c>
    </row>
    <row r="38" ht="22.5" hidden="1" customHeight="1">
      <c r="A38" s="98">
        <v>46079.46863659722</v>
      </c>
      <c r="B38" s="100" t="s">
        <v>361</v>
      </c>
      <c r="C38" s="100" t="s">
        <v>6</v>
      </c>
      <c r="D38" s="100" t="s">
        <v>11</v>
      </c>
      <c r="E38" s="100" t="s">
        <v>16</v>
      </c>
      <c r="F38" s="100" t="s">
        <v>20</v>
      </c>
      <c r="G38" s="100" t="s">
        <v>25</v>
      </c>
      <c r="H38" s="100">
        <v>9.688909764E9</v>
      </c>
      <c r="I38" s="100" t="s">
        <v>33</v>
      </c>
      <c r="J38" s="100" t="s">
        <v>38</v>
      </c>
      <c r="K38" s="100" t="s">
        <v>42</v>
      </c>
      <c r="L38" s="100">
        <v>2000.0</v>
      </c>
      <c r="M38" s="100">
        <v>0.0</v>
      </c>
      <c r="N38" s="100">
        <v>3000.0</v>
      </c>
      <c r="O38" s="100">
        <v>39600.0</v>
      </c>
      <c r="P38" s="100">
        <v>7.0</v>
      </c>
      <c r="Q38" s="100">
        <v>0.0</v>
      </c>
      <c r="R38" s="100">
        <v>3.0</v>
      </c>
      <c r="S38" s="100">
        <v>2500.0</v>
      </c>
      <c r="T38" s="100">
        <v>0.0</v>
      </c>
      <c r="U38" s="100">
        <v>0.0</v>
      </c>
      <c r="V38" s="100">
        <v>0.0</v>
      </c>
      <c r="W38" s="100">
        <v>0.0</v>
      </c>
      <c r="X38" s="100">
        <v>0.0</v>
      </c>
      <c r="Y38" s="100">
        <v>0.0</v>
      </c>
      <c r="Z38" s="100">
        <v>0.0</v>
      </c>
      <c r="AH38" s="100">
        <v>8.098448008E9</v>
      </c>
      <c r="AI38" s="100" t="s">
        <v>112</v>
      </c>
      <c r="AJ38" s="106">
        <v>4.0</v>
      </c>
    </row>
    <row r="39" ht="22.5" customHeight="1">
      <c r="A39" s="98">
        <v>46073.86677994213</v>
      </c>
      <c r="B39" s="100" t="s">
        <v>362</v>
      </c>
      <c r="C39" s="100" t="s">
        <v>363</v>
      </c>
      <c r="D39" s="100" t="s">
        <v>116</v>
      </c>
      <c r="E39" s="100" t="s">
        <v>16</v>
      </c>
      <c r="F39" s="100" t="s">
        <v>364</v>
      </c>
      <c r="G39" s="100" t="s">
        <v>25</v>
      </c>
      <c r="H39" s="100">
        <v>9.688909764E9</v>
      </c>
      <c r="I39" s="100" t="s">
        <v>33</v>
      </c>
      <c r="J39" s="100" t="s">
        <v>38</v>
      </c>
      <c r="K39" s="100" t="s">
        <v>365</v>
      </c>
      <c r="L39" s="100">
        <v>2000.0</v>
      </c>
      <c r="M39" s="100">
        <v>1000.0</v>
      </c>
      <c r="N39" s="100">
        <v>3000.0</v>
      </c>
      <c r="O39" s="100">
        <v>39600.0</v>
      </c>
      <c r="P39" s="100">
        <v>7.0</v>
      </c>
      <c r="Q39" s="100">
        <v>0.0</v>
      </c>
      <c r="R39" s="100">
        <v>3.0</v>
      </c>
      <c r="S39" s="100">
        <v>0.0</v>
      </c>
      <c r="T39" s="100">
        <v>10.0</v>
      </c>
      <c r="U39" s="100">
        <v>0.0</v>
      </c>
      <c r="V39" s="100">
        <v>0.0</v>
      </c>
      <c r="AH39" s="100">
        <v>8.098448008E9</v>
      </c>
      <c r="AI39" s="100" t="s">
        <v>112</v>
      </c>
      <c r="AJ39" s="106">
        <v>6.0</v>
      </c>
    </row>
  </sheetData>
  <dataValidations>
    <dataValidation type="custom" allowBlank="1" showDropDown="1" sqref="AJ2:AJ39">
      <formula1>AND(ISNUMBER(AJ2),(NOT(OR(NOT(ISERROR(DATEVALUE(AJ2))), AND(ISNUMBER(AJ2), LEFT(CELL("format", AJ2))="D")))))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7.38"/>
    <col customWidth="1" hidden="1" min="3" max="3" width="5.0"/>
    <col customWidth="1" min="4" max="4" width="19.88"/>
    <col customWidth="1" min="5" max="5" width="9.5"/>
    <col customWidth="1" min="6" max="6" width="14.88"/>
    <col customWidth="1" min="7" max="7" width="9.25"/>
    <col customWidth="1" hidden="1" min="8" max="8" width="11.63"/>
    <col customWidth="1" min="9" max="11" width="7.63"/>
  </cols>
  <sheetData>
    <row r="1" ht="48.0" customHeight="1">
      <c r="A1" s="1" t="s">
        <v>0</v>
      </c>
      <c r="B1" s="1" t="s">
        <v>1</v>
      </c>
      <c r="C1" s="1"/>
      <c r="D1" s="1" t="s">
        <v>0</v>
      </c>
      <c r="E1" s="2" t="s">
        <v>2</v>
      </c>
      <c r="F1" s="1" t="s">
        <v>3</v>
      </c>
      <c r="G1" s="3" t="s">
        <v>4</v>
      </c>
    </row>
    <row r="2" ht="24.75" customHeight="1">
      <c r="A2" s="4" t="s">
        <v>5</v>
      </c>
      <c r="B2" s="5" t="s">
        <v>6</v>
      </c>
      <c r="C2" s="6"/>
      <c r="D2" s="4" t="s">
        <v>7</v>
      </c>
      <c r="E2" s="7">
        <v>39600.0</v>
      </c>
      <c r="F2" s="8" t="s">
        <v>8</v>
      </c>
      <c r="G2" s="9">
        <v>0.0</v>
      </c>
    </row>
    <row r="3" ht="24.75" customHeight="1">
      <c r="A3" s="11" t="s">
        <v>10</v>
      </c>
      <c r="B3" s="5" t="s">
        <v>11</v>
      </c>
      <c r="C3" s="6"/>
      <c r="D3" s="11" t="s">
        <v>12</v>
      </c>
      <c r="E3" s="12">
        <v>7.0</v>
      </c>
      <c r="F3" s="6" t="s">
        <v>13</v>
      </c>
      <c r="G3" s="9">
        <v>0.0</v>
      </c>
    </row>
    <row r="4" ht="24.75" customHeight="1">
      <c r="A4" s="4" t="s">
        <v>15</v>
      </c>
      <c r="B4" s="5" t="s">
        <v>16</v>
      </c>
      <c r="C4" s="6"/>
      <c r="D4" s="4" t="s">
        <v>17</v>
      </c>
      <c r="E4" s="12">
        <v>2000.0</v>
      </c>
      <c r="F4" s="8" t="s">
        <v>18</v>
      </c>
      <c r="G4" s="9">
        <v>0.0</v>
      </c>
    </row>
    <row r="5" ht="24.75" customHeight="1">
      <c r="A5" s="11" t="s">
        <v>19</v>
      </c>
      <c r="B5" s="5" t="s">
        <v>20</v>
      </c>
      <c r="C5" s="6"/>
      <c r="D5" s="11" t="s">
        <v>21</v>
      </c>
      <c r="E5" s="12">
        <v>3000.0</v>
      </c>
      <c r="F5" s="6" t="s">
        <v>22</v>
      </c>
      <c r="G5" s="9">
        <v>0.0</v>
      </c>
      <c r="H5" s="15">
        <v>3000.0</v>
      </c>
    </row>
    <row r="6" ht="35.25" customHeight="1">
      <c r="A6" s="4" t="s">
        <v>24</v>
      </c>
      <c r="B6" s="5" t="s">
        <v>25</v>
      </c>
      <c r="C6" s="6"/>
      <c r="D6" s="18" t="s">
        <v>26</v>
      </c>
      <c r="E6" s="12">
        <v>0.0</v>
      </c>
      <c r="F6" s="8" t="s">
        <v>27</v>
      </c>
      <c r="G6" s="9">
        <v>0.0</v>
      </c>
    </row>
    <row r="7" ht="24.75" customHeight="1">
      <c r="A7" s="11" t="s">
        <v>28</v>
      </c>
      <c r="B7" s="12">
        <v>9.688909764E9</v>
      </c>
      <c r="C7" s="6"/>
      <c r="D7" s="20" t="s">
        <v>29</v>
      </c>
      <c r="E7" s="22">
        <v>3.0</v>
      </c>
      <c r="F7" s="6" t="s">
        <v>31</v>
      </c>
      <c r="G7" s="9">
        <v>0.0</v>
      </c>
    </row>
    <row r="8" ht="24.75" customHeight="1">
      <c r="A8" s="4" t="s">
        <v>32</v>
      </c>
      <c r="B8" s="5" t="s">
        <v>33</v>
      </c>
      <c r="C8" s="6"/>
      <c r="D8" s="25"/>
      <c r="E8" s="25"/>
      <c r="F8" s="8" t="s">
        <v>34</v>
      </c>
      <c r="G8" s="9">
        <v>0.0</v>
      </c>
    </row>
    <row r="9" ht="24.75" customHeight="1">
      <c r="A9" s="11" t="s">
        <v>35</v>
      </c>
      <c r="B9" s="26"/>
      <c r="C9" s="6"/>
      <c r="D9" s="27"/>
      <c r="E9" s="28"/>
      <c r="F9" s="6" t="s">
        <v>36</v>
      </c>
      <c r="G9" s="9">
        <v>0.0</v>
      </c>
    </row>
    <row r="10" ht="24.75" customHeight="1">
      <c r="A10" s="4" t="s">
        <v>37</v>
      </c>
      <c r="B10" s="5" t="s">
        <v>38</v>
      </c>
      <c r="C10" s="6"/>
      <c r="D10" s="29" t="s">
        <v>39</v>
      </c>
      <c r="E10" s="12">
        <v>0.0</v>
      </c>
      <c r="F10" s="8" t="s">
        <v>40</v>
      </c>
      <c r="G10" s="9">
        <v>0.0</v>
      </c>
    </row>
    <row r="11" ht="24.75" customHeight="1">
      <c r="A11" s="11" t="s">
        <v>41</v>
      </c>
      <c r="B11" s="30" t="s">
        <v>42</v>
      </c>
      <c r="C11" s="6"/>
      <c r="D11" s="11" t="s">
        <v>43</v>
      </c>
      <c r="E11" s="26"/>
      <c r="F11" s="6" t="s">
        <v>44</v>
      </c>
      <c r="G11" s="9">
        <v>0.0</v>
      </c>
    </row>
    <row r="12" ht="24.75" customHeight="1">
      <c r="A12" s="4" t="s">
        <v>45</v>
      </c>
      <c r="B12" s="5">
        <v>2025.0</v>
      </c>
      <c r="C12" s="6">
        <f t="shared" ref="C12:C13" si="1">B12+1</f>
        <v>2026</v>
      </c>
      <c r="D12" s="4" t="s">
        <v>46</v>
      </c>
      <c r="E12" s="26"/>
      <c r="F12" s="8" t="s">
        <v>47</v>
      </c>
      <c r="G12" s="9">
        <v>0.0</v>
      </c>
    </row>
    <row r="13" ht="33.0" customHeight="1">
      <c r="A13" s="11" t="s">
        <v>48</v>
      </c>
      <c r="B13" s="5">
        <v>2026.0</v>
      </c>
      <c r="C13" s="6">
        <f t="shared" si="1"/>
        <v>2027</v>
      </c>
      <c r="D13" s="11" t="s">
        <v>49</v>
      </c>
      <c r="E13" s="26"/>
      <c r="F13" s="34" t="s">
        <v>50</v>
      </c>
      <c r="G13" s="9">
        <v>0.0</v>
      </c>
      <c r="H13" s="15">
        <f>ROUND(E2*3%,-2)</f>
        <v>1200</v>
      </c>
      <c r="K13" s="37" t="s">
        <v>53</v>
      </c>
    </row>
    <row r="14" ht="33.0" customHeight="1">
      <c r="A14" s="39" t="s">
        <v>55</v>
      </c>
      <c r="B14" s="41"/>
      <c r="C14" s="41"/>
      <c r="D14" s="43" t="s">
        <v>56</v>
      </c>
      <c r="E14" s="44">
        <v>2500.0</v>
      </c>
      <c r="F14" s="34" t="s">
        <v>57</v>
      </c>
      <c r="G14" s="45">
        <v>0.0</v>
      </c>
    </row>
    <row r="15">
      <c r="D15" s="46" t="s">
        <v>58</v>
      </c>
      <c r="E15" s="47">
        <v>1.0</v>
      </c>
      <c r="F15" s="46" t="s">
        <v>60</v>
      </c>
      <c r="G15" s="47">
        <v>4.0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D7:D9"/>
    <mergeCell ref="E7:E9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.0"/>
    <col customWidth="1" min="3" max="3" width="3.5"/>
    <col customWidth="1" min="4" max="4" width="4.13"/>
    <col customWidth="1" min="5" max="5" width="2.38"/>
    <col customWidth="1" min="6" max="6" width="8.38"/>
    <col customWidth="1" min="7" max="7" width="5.5"/>
    <col customWidth="1" min="8" max="8" width="4.13"/>
    <col customWidth="1" min="9" max="9" width="3.88"/>
    <col customWidth="1" min="10" max="10" width="2.38"/>
    <col customWidth="1" min="11" max="11" width="3.63"/>
    <col customWidth="1" min="12" max="12" width="2.88"/>
    <col customWidth="1" min="13" max="13" width="3.38"/>
    <col customWidth="1" min="14" max="14" width="3.75"/>
    <col customWidth="1" min="15" max="15" width="6.75"/>
    <col customWidth="1" min="16" max="16" width="1.13"/>
    <col customWidth="1" min="17" max="17" width="7.88"/>
    <col customWidth="1" min="18" max="18" width="3.5"/>
    <col customWidth="1" min="19" max="19" width="1.63"/>
    <col customWidth="1" min="20" max="20" width="6.88"/>
    <col customWidth="1" min="21" max="21" width="5.38"/>
    <col customWidth="1" min="22" max="22" width="5.0"/>
    <col customWidth="1" min="23" max="23" width="4.88"/>
    <col customWidth="1" min="24" max="24" width="4.5"/>
    <col customWidth="1" min="25" max="25" width="3.88"/>
    <col customWidth="1" min="26" max="27" width="6.25"/>
    <col customWidth="1" min="28" max="28" width="6.38"/>
    <col customWidth="1" hidden="1" min="29" max="42" width="7.75"/>
    <col customWidth="1" hidden="1" min="43" max="47" width="7.38"/>
    <col customWidth="1" hidden="1" min="48" max="49" width="7.75"/>
    <col customWidth="1" hidden="1" min="50" max="50" width="12.63"/>
    <col customWidth="1" hidden="1" min="51" max="51" width="9.13"/>
    <col customWidth="1" hidden="1" min="52" max="52" width="8.75"/>
    <col customWidth="1" hidden="1" min="53" max="63" width="7.75"/>
    <col customWidth="1" hidden="1" min="64" max="64" width="7.63"/>
  </cols>
  <sheetData>
    <row r="1" ht="15.0" customHeight="1">
      <c r="A1" s="10" t="s">
        <v>9</v>
      </c>
      <c r="Z1" s="13"/>
      <c r="AA1" s="14" t="s">
        <v>14</v>
      </c>
      <c r="AF1" s="16" t="s">
        <v>23</v>
      </c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9"/>
      <c r="AX1" s="21" t="s">
        <v>30</v>
      </c>
      <c r="AY1" s="23"/>
      <c r="AZ1" s="24"/>
    </row>
    <row r="2" ht="21.75" customHeight="1">
      <c r="A2" s="31" t="str">
        <f>"FOR THE FINANCIAL YEAR "&amp;INPUT!B12&amp;"- "&amp;INPUT!C12&amp;" AND THE ASSESSMENT YEAR "&amp;INPUT!B13&amp;"- "&amp;INPUT!C13&amp;""</f>
        <v>FOR THE FINANCIAL YEAR 2025- 2026 AND THE ASSESSMENT YEAR 2026- 2027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Q2" s="33" t="str">
        <f>"PAY DRAWN PARTICULARS FOR THE FINANCE YEAR OF "&amp;INPUT!B12&amp;" - "&amp;INPUT!C12&amp;""</f>
        <v>PAY DRAWN PARTICULARS FOR THE FINANCE YEAR OF 2025 - 2026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D2" s="35" t="s">
        <v>51</v>
      </c>
      <c r="AE2" s="36" t="s">
        <v>52</v>
      </c>
      <c r="AF2" s="38" t="s">
        <v>54</v>
      </c>
      <c r="AG2" s="40">
        <v>13601.0</v>
      </c>
      <c r="AH2" s="42">
        <v>300.0</v>
      </c>
      <c r="AI2" s="48"/>
      <c r="AJ2" s="40">
        <v>13601.0</v>
      </c>
      <c r="AK2" s="42">
        <v>450.0</v>
      </c>
      <c r="AL2" s="49"/>
      <c r="AM2" s="40">
        <v>13601.0</v>
      </c>
      <c r="AN2" s="42">
        <v>700.0</v>
      </c>
      <c r="AO2" s="50"/>
      <c r="AP2" s="40">
        <v>13601.0</v>
      </c>
      <c r="AQ2" s="42">
        <v>1000.0</v>
      </c>
      <c r="AR2" s="52"/>
      <c r="AS2" s="52">
        <v>13601.0</v>
      </c>
      <c r="AT2" s="52">
        <v>150.0</v>
      </c>
      <c r="AU2" s="53"/>
      <c r="AV2" s="54"/>
      <c r="AW2" s="55"/>
      <c r="AX2" s="56"/>
      <c r="AY2" s="57"/>
      <c r="AZ2" s="58"/>
      <c r="BA2" s="59" t="s">
        <v>65</v>
      </c>
      <c r="BB2" s="60"/>
      <c r="BC2" s="60"/>
      <c r="BD2" s="61"/>
    </row>
    <row r="3" ht="21.75" customHeight="1">
      <c r="A3" s="62" t="s">
        <v>62</v>
      </c>
      <c r="B3" s="60"/>
      <c r="C3" s="60"/>
      <c r="D3" s="60"/>
      <c r="E3" s="61"/>
      <c r="F3" s="63" t="str">
        <f>INPUT!B2</f>
        <v>Kannan M</v>
      </c>
      <c r="G3" s="60"/>
      <c r="H3" s="60"/>
      <c r="I3" s="60"/>
      <c r="J3" s="61"/>
      <c r="K3" s="64" t="s">
        <v>75</v>
      </c>
      <c r="L3" s="65"/>
      <c r="M3" s="65"/>
      <c r="N3" s="66" t="str">
        <f>INPUT!B5</f>
        <v>Bwxpk2482a</v>
      </c>
      <c r="O3" s="61"/>
      <c r="P3" s="67"/>
      <c r="Q3" s="68" t="s">
        <v>3</v>
      </c>
      <c r="R3" s="69" t="s">
        <v>82</v>
      </c>
      <c r="S3" s="70"/>
      <c r="T3" s="71" t="s">
        <v>84</v>
      </c>
      <c r="U3" s="68" t="s">
        <v>52</v>
      </c>
      <c r="V3" s="68" t="s">
        <v>87</v>
      </c>
      <c r="W3" s="68" t="s">
        <v>54</v>
      </c>
      <c r="X3" s="68" t="s">
        <v>77</v>
      </c>
      <c r="Y3" s="68" t="s">
        <v>90</v>
      </c>
      <c r="Z3" s="72" t="s">
        <v>92</v>
      </c>
      <c r="AA3" s="68" t="s">
        <v>94</v>
      </c>
      <c r="AB3" s="71" t="s">
        <v>96</v>
      </c>
      <c r="AD3" s="73" t="s">
        <v>13</v>
      </c>
      <c r="AE3" s="74"/>
      <c r="AF3" s="75"/>
      <c r="AG3" s="76">
        <v>17201.0</v>
      </c>
      <c r="AH3" s="77">
        <v>350.0</v>
      </c>
      <c r="AI3" s="78"/>
      <c r="AJ3" s="76">
        <v>17201.0</v>
      </c>
      <c r="AK3" s="77">
        <v>500.0</v>
      </c>
      <c r="AL3" s="75"/>
      <c r="AM3" s="76">
        <v>17201.0</v>
      </c>
      <c r="AN3" s="77">
        <v>800.0</v>
      </c>
      <c r="AO3" s="79"/>
      <c r="AP3" s="76">
        <v>17201.0</v>
      </c>
      <c r="AQ3" s="77">
        <v>1200.0</v>
      </c>
      <c r="AR3" s="80"/>
      <c r="AS3" s="80">
        <v>17201.0</v>
      </c>
      <c r="AT3" s="80">
        <v>1800.0</v>
      </c>
      <c r="AU3" s="82"/>
      <c r="AV3" s="83"/>
      <c r="AW3" s="84"/>
      <c r="AX3" s="56"/>
      <c r="AY3" s="57"/>
      <c r="AZ3" s="58"/>
      <c r="BA3" s="86">
        <f>O11</f>
        <v>737104</v>
      </c>
      <c r="BB3" s="86"/>
      <c r="BC3" s="86"/>
      <c r="BD3" s="86"/>
    </row>
    <row r="4" ht="20.25" customHeight="1">
      <c r="A4" s="62" t="s">
        <v>64</v>
      </c>
      <c r="B4" s="60"/>
      <c r="C4" s="60"/>
      <c r="D4" s="60"/>
      <c r="E4" s="61"/>
      <c r="F4" s="63" t="str">
        <f>INPUT!B4</f>
        <v>S..G.TEACHER</v>
      </c>
      <c r="G4" s="60"/>
      <c r="H4" s="60"/>
      <c r="I4" s="60"/>
      <c r="J4" s="61"/>
      <c r="K4" s="62" t="s">
        <v>67</v>
      </c>
      <c r="L4" s="60"/>
      <c r="M4" s="61"/>
      <c r="N4" s="89" t="str">
        <f>INPUT!B6</f>
        <v>MRIA01163B</v>
      </c>
      <c r="O4" s="61"/>
      <c r="P4" s="67"/>
      <c r="Q4" s="27"/>
      <c r="R4" s="90"/>
      <c r="S4" s="91"/>
      <c r="T4" s="27"/>
      <c r="U4" s="27"/>
      <c r="V4" s="27"/>
      <c r="W4" s="27"/>
      <c r="X4" s="27"/>
      <c r="Y4" s="27"/>
      <c r="Z4" s="27"/>
      <c r="AA4" s="27"/>
      <c r="AB4" s="27"/>
      <c r="AD4" s="92">
        <f>ROUND(T5*3%,-2)</f>
        <v>1200</v>
      </c>
      <c r="AE4" s="74"/>
      <c r="AF4" s="93"/>
      <c r="AG4" s="76">
        <v>21001.0</v>
      </c>
      <c r="AH4" s="77">
        <v>400.0</v>
      </c>
      <c r="AI4" s="78"/>
      <c r="AJ4" s="76">
        <v>21001.0</v>
      </c>
      <c r="AK4" s="77">
        <v>700.0</v>
      </c>
      <c r="AL4" s="75"/>
      <c r="AM4" s="76">
        <v>21001.0</v>
      </c>
      <c r="AN4" s="77">
        <v>1000.0</v>
      </c>
      <c r="AO4" s="79"/>
      <c r="AP4" s="76">
        <v>21001.0</v>
      </c>
      <c r="AQ4" s="77">
        <v>1400.0</v>
      </c>
      <c r="AR4" s="80"/>
      <c r="AS4" s="80">
        <v>21001.0</v>
      </c>
      <c r="AT4" s="80">
        <v>2100.0</v>
      </c>
      <c r="AU4" s="82"/>
      <c r="AV4" s="83"/>
      <c r="AW4" s="84"/>
      <c r="AX4" s="56"/>
      <c r="AY4" s="57"/>
      <c r="AZ4" s="94">
        <v>360.0</v>
      </c>
      <c r="BA4" s="95">
        <f t="shared" ref="BA4:BA10" si="1">BA3-400000</f>
        <v>337104</v>
      </c>
      <c r="BB4" s="86">
        <f t="shared" ref="BB4:BB9" si="2">IF(BA4&gt;=0,BA4,0)</f>
        <v>337104</v>
      </c>
      <c r="BC4" s="86">
        <f t="shared" ref="BC4:BC9" si="3">IF(BB4&gt;=400000, 400000,BB4)</f>
        <v>337104</v>
      </c>
      <c r="BD4" s="86">
        <f t="shared" ref="BD4:BD9" si="4">IF(BB4&gt;0,BC4,BB4)</f>
        <v>337104</v>
      </c>
    </row>
    <row r="5" ht="18.0" customHeight="1">
      <c r="A5" s="62" t="s">
        <v>110</v>
      </c>
      <c r="B5" s="60"/>
      <c r="C5" s="60"/>
      <c r="D5" s="60"/>
      <c r="E5" s="61"/>
      <c r="F5" s="63" t="str">
        <f>INPUT!B3</f>
        <v>MALE</v>
      </c>
      <c r="G5" s="60"/>
      <c r="H5" s="60"/>
      <c r="I5" s="60"/>
      <c r="J5" s="61"/>
      <c r="K5" s="62" t="s">
        <v>111</v>
      </c>
      <c r="L5" s="60"/>
      <c r="M5" s="61"/>
      <c r="N5" s="96">
        <f>INPUT!B7</f>
        <v>9688909764</v>
      </c>
      <c r="O5" s="91"/>
      <c r="P5" s="67"/>
      <c r="Q5" s="99" t="str">
        <f>"MAR - "&amp;INPUT!B12&amp;""</f>
        <v>MAR - 2025</v>
      </c>
      <c r="R5" s="101">
        <v>53.0</v>
      </c>
      <c r="S5" s="102" t="s">
        <v>115</v>
      </c>
      <c r="T5" s="103">
        <f>INPUT!E2</f>
        <v>39600</v>
      </c>
      <c r="U5" s="103">
        <f t="shared" ref="U5:U12" si="5">AE5</f>
        <v>20988</v>
      </c>
      <c r="V5" s="104">
        <f>INPUT!E4</f>
        <v>2000</v>
      </c>
      <c r="W5" s="104">
        <f>IF(INPUT!E7=1,AF5,IF(INPUT!E7=2,AI5,IF(INPUT!E7=3,AL5,IF(INPUT!E7=4,AO5,IF(INPUT!E7=5,AR5,0)))))</f>
        <v>2300</v>
      </c>
      <c r="X5" s="104">
        <f>IF(INPUT!E10=1,AU5,IF(INPUT!E10=2,AX5,0))</f>
        <v>0</v>
      </c>
      <c r="Y5" s="104">
        <v>300.0</v>
      </c>
      <c r="Z5" s="101">
        <f>INPUT!E14</f>
        <v>2500</v>
      </c>
      <c r="AA5" s="101">
        <f t="shared" ref="AA5:AA16" si="7">SUM(T5:Z5)</f>
        <v>67688</v>
      </c>
      <c r="AB5" s="103">
        <f>INPUT!G2</f>
        <v>0</v>
      </c>
      <c r="AD5" s="105"/>
      <c r="AE5" s="74">
        <f t="shared" ref="AE5:AE14" si="8">ROUND(T5*R5%,0)</f>
        <v>20988</v>
      </c>
      <c r="AF5" s="75">
        <f>VLOOKUP(T5,AG2:AH16,2,1)</f>
        <v>600</v>
      </c>
      <c r="AG5" s="76">
        <v>23901.0</v>
      </c>
      <c r="AH5" s="77">
        <v>400.0</v>
      </c>
      <c r="AI5" s="78">
        <f>VLOOKUP(T5,AJ2:AK16,2,1)</f>
        <v>1700</v>
      </c>
      <c r="AJ5" s="76">
        <v>23901.0</v>
      </c>
      <c r="AK5" s="77">
        <v>800.0</v>
      </c>
      <c r="AL5" s="75">
        <f>VLOOKUP(T5,AM2:AN16,2,1)</f>
        <v>2300</v>
      </c>
      <c r="AM5" s="76">
        <v>23901.0</v>
      </c>
      <c r="AN5" s="77">
        <v>1200.0</v>
      </c>
      <c r="AO5" s="79">
        <f>VLOOKUP(T5,AP2:AQ16,2,1)</f>
        <v>3000</v>
      </c>
      <c r="AP5" s="76">
        <v>23901.0</v>
      </c>
      <c r="AQ5" s="77">
        <v>1700.0</v>
      </c>
      <c r="AR5" s="80">
        <f t="shared" ref="AR5:AR14" si="9">VLOOKUP(T5,$AS$2:$AT$17,2,1)</f>
        <v>4700</v>
      </c>
      <c r="AS5" s="80">
        <v>23901.0</v>
      </c>
      <c r="AT5" s="80">
        <v>2600.0</v>
      </c>
      <c r="AU5" s="82">
        <f>VLOOKUP(T5,AV5:AW8,2,1)</f>
        <v>400</v>
      </c>
      <c r="AV5" s="76">
        <v>20601.0</v>
      </c>
      <c r="AW5" s="77">
        <v>260.0</v>
      </c>
      <c r="AX5" s="107">
        <f>VLOOKUP(T5,$AY$4:$AZ$8,2,1)</f>
        <v>800</v>
      </c>
      <c r="AY5" s="108">
        <v>20601.0</v>
      </c>
      <c r="AZ5" s="109">
        <v>500.0</v>
      </c>
      <c r="BA5" s="86">
        <f t="shared" si="1"/>
        <v>-62896</v>
      </c>
      <c r="BB5" s="86">
        <f t="shared" si="2"/>
        <v>0</v>
      </c>
      <c r="BC5" s="86">
        <f t="shared" si="3"/>
        <v>0</v>
      </c>
      <c r="BD5" s="86">
        <f t="shared" si="4"/>
        <v>0</v>
      </c>
    </row>
    <row r="6" ht="18.0" customHeight="1">
      <c r="A6" s="62" t="s">
        <v>127</v>
      </c>
      <c r="B6" s="60"/>
      <c r="C6" s="60"/>
      <c r="D6" s="60"/>
      <c r="E6" s="61"/>
      <c r="F6" s="63" t="str">
        <f>""&amp;INPUT!B8&amp;" "&amp;INPUT!B9&amp;" "&amp;INPUT!B10&amp;" /  "&amp;INPUT!B11&amp;""</f>
        <v>P.U.PRIMARY SCHOOL,  SEVALKULAM /  BEO OFFICE, KURUVIKULAM</v>
      </c>
      <c r="G6" s="60"/>
      <c r="H6" s="60"/>
      <c r="I6" s="60"/>
      <c r="J6" s="60"/>
      <c r="K6" s="60"/>
      <c r="L6" s="60"/>
      <c r="M6" s="60"/>
      <c r="N6" s="60"/>
      <c r="O6" s="61"/>
      <c r="P6" s="67"/>
      <c r="Q6" s="99" t="str">
        <f>"APR -  "&amp;INPUT!B12&amp;""</f>
        <v>APR -  2025</v>
      </c>
      <c r="R6" s="101">
        <f>R5</f>
        <v>53</v>
      </c>
      <c r="S6" s="102" t="s">
        <v>115</v>
      </c>
      <c r="T6" s="103">
        <f>IF(AND(INPUT!E3=4,INPUT!G14=4),BL6,IF(INPUT!E3=4,AD6,IF(INPUT!G14=4,BJ6,T5)))</f>
        <v>39600</v>
      </c>
      <c r="U6" s="103">
        <f t="shared" si="5"/>
        <v>20988</v>
      </c>
      <c r="V6" s="104">
        <f t="shared" ref="V6:V12" si="10">V5</f>
        <v>2000</v>
      </c>
      <c r="W6" s="104">
        <f>IF(INPUT!E7=1,AF6,IF(INPUT!E7=2,AI6,IF(INPUT!E7=3,AL6,IF(INPUT!E7=4,AO6,IF(INPUT!E7=5,AR5,0)))))</f>
        <v>2300</v>
      </c>
      <c r="X6" s="104">
        <f>IF(INPUT!E10=1,AU6,IF(INPUT!E10=2,AX5,0))</f>
        <v>0</v>
      </c>
      <c r="Y6" s="104">
        <f t="shared" ref="Y6:Z6" si="6">Y5</f>
        <v>300</v>
      </c>
      <c r="Z6" s="101">
        <f t="shared" si="6"/>
        <v>2500</v>
      </c>
      <c r="AA6" s="101">
        <f t="shared" si="7"/>
        <v>67688</v>
      </c>
      <c r="AB6" s="103">
        <f>INPUT!G3</f>
        <v>0</v>
      </c>
      <c r="AD6" s="105">
        <f>T5+AD4</f>
        <v>40800</v>
      </c>
      <c r="AE6" s="74">
        <f t="shared" si="8"/>
        <v>20988</v>
      </c>
      <c r="AF6" s="75">
        <f>VLOOKUP(T6,AG2:AH16,2,1)</f>
        <v>600</v>
      </c>
      <c r="AG6" s="76">
        <v>27201.0</v>
      </c>
      <c r="AH6" s="77">
        <v>450.0</v>
      </c>
      <c r="AI6" s="78">
        <f>VLOOKUP(T6,AJ2:AK16,2,1)</f>
        <v>1700</v>
      </c>
      <c r="AJ6" s="76">
        <v>27201.0</v>
      </c>
      <c r="AK6" s="77">
        <v>1000.0</v>
      </c>
      <c r="AL6" s="75">
        <f>VLOOKUP(T6,AM2:AN16,2,1)</f>
        <v>2300</v>
      </c>
      <c r="AM6" s="76">
        <v>27201.0</v>
      </c>
      <c r="AN6" s="77">
        <v>1500.0</v>
      </c>
      <c r="AO6" s="79">
        <f>VLOOKUP(T6,AP2:AQ16,2,1)</f>
        <v>3000</v>
      </c>
      <c r="AP6" s="76">
        <v>27201.0</v>
      </c>
      <c r="AQ6" s="77">
        <v>2000.0</v>
      </c>
      <c r="AR6" s="80">
        <f t="shared" si="9"/>
        <v>4700</v>
      </c>
      <c r="AS6" s="80">
        <v>27201.0</v>
      </c>
      <c r="AT6" s="80">
        <v>3100.0</v>
      </c>
      <c r="AU6" s="82">
        <f>VLOOKUP(T6,AV5:AW8,2,1)</f>
        <v>400</v>
      </c>
      <c r="AV6" s="76">
        <v>30801.0</v>
      </c>
      <c r="AW6" s="77">
        <v>400.0</v>
      </c>
      <c r="AX6" s="107">
        <f t="shared" ref="AX6:AX14" si="12">VLOOKUP(T6,$AY$5:$AZ$8,2,1)</f>
        <v>800</v>
      </c>
      <c r="AY6" s="108">
        <v>30801.0</v>
      </c>
      <c r="AZ6" s="109">
        <v>800.0</v>
      </c>
      <c r="BA6" s="86">
        <f t="shared" si="1"/>
        <v>-462896</v>
      </c>
      <c r="BB6" s="86">
        <f t="shared" si="2"/>
        <v>0</v>
      </c>
      <c r="BC6" s="86">
        <f t="shared" si="3"/>
        <v>0</v>
      </c>
      <c r="BD6" s="86">
        <f t="shared" si="4"/>
        <v>0</v>
      </c>
      <c r="BF6" s="15" t="s">
        <v>135</v>
      </c>
      <c r="BG6" s="15">
        <f t="shared" ref="BG6:BG16" si="13">ROUND(T5*3%,-2)</f>
        <v>1200</v>
      </c>
      <c r="BH6" s="15">
        <f t="shared" ref="BH6:BH16" si="14">T5+BG6</f>
        <v>40800</v>
      </c>
      <c r="BI6" s="15">
        <f t="shared" ref="BI6:BI16" si="15">ROUND(BH6*3%,-2)</f>
        <v>1200</v>
      </c>
      <c r="BJ6" s="15">
        <f t="shared" ref="BJ6:BJ16" si="16">BH6+BI6</f>
        <v>42000</v>
      </c>
      <c r="BK6" s="15">
        <f>ROUND(BJ6*3%,-2)</f>
        <v>1300</v>
      </c>
      <c r="BL6" s="15">
        <f>BJ6+BK6</f>
        <v>43300</v>
      </c>
    </row>
    <row r="7" ht="18.75" customHeight="1">
      <c r="A7" s="110">
        <v>1.0</v>
      </c>
      <c r="B7" s="111" t="s">
        <v>138</v>
      </c>
      <c r="C7" s="112" t="s">
        <v>139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3" t="s">
        <v>143</v>
      </c>
      <c r="O7" s="113">
        <f>AA24</f>
        <v>841781</v>
      </c>
      <c r="P7" s="114"/>
      <c r="Q7" s="99" t="str">
        <f>"MAY - "&amp;INPUT!B12&amp;""</f>
        <v>MAY - 2025</v>
      </c>
      <c r="R7" s="101">
        <v>55.0</v>
      </c>
      <c r="S7" s="102" t="s">
        <v>115</v>
      </c>
      <c r="T7" s="103">
        <f>IF(INPUT!G14=5,BJ7,T6)</f>
        <v>39600</v>
      </c>
      <c r="U7" s="103">
        <f t="shared" si="5"/>
        <v>21780</v>
      </c>
      <c r="V7" s="104">
        <f t="shared" si="10"/>
        <v>2000</v>
      </c>
      <c r="W7" s="104">
        <f>IF(INPUT!E7=1,AF7,IF(INPUT!E7=2,AI7,IF(INPUT!E7=3,AL7,IF(INPUT!E7=4,AO7,IF(INPUT!E7=5,AR5,0)))))</f>
        <v>2300</v>
      </c>
      <c r="X7" s="104">
        <f>IF(INPUT!E10=1,AU7,IF(INPUT!E10=2,AX5,0))</f>
        <v>0</v>
      </c>
      <c r="Y7" s="104">
        <f t="shared" ref="Y7:Z7" si="11">Y6</f>
        <v>300</v>
      </c>
      <c r="Z7" s="101">
        <f t="shared" si="11"/>
        <v>2500</v>
      </c>
      <c r="AA7" s="101">
        <f t="shared" si="7"/>
        <v>68480</v>
      </c>
      <c r="AB7" s="103">
        <f>INPUT!G4</f>
        <v>0</v>
      </c>
      <c r="AD7" s="115" t="s">
        <v>27</v>
      </c>
      <c r="AE7" s="74">
        <f t="shared" si="8"/>
        <v>21780</v>
      </c>
      <c r="AF7" s="75">
        <f>VLOOKUP(T7,AG2:AH16,2,1)</f>
        <v>600</v>
      </c>
      <c r="AG7" s="76">
        <v>30601.0</v>
      </c>
      <c r="AH7" s="77">
        <v>500.0</v>
      </c>
      <c r="AI7" s="78">
        <f>VLOOKUP(T7,AJ2:AK16,2,1)</f>
        <v>1700</v>
      </c>
      <c r="AJ7" s="76">
        <v>30601.0</v>
      </c>
      <c r="AK7" s="77">
        <v>1200.0</v>
      </c>
      <c r="AL7" s="75">
        <f>VLOOKUP(T7,AM2:AN16,2,1)</f>
        <v>2300</v>
      </c>
      <c r="AM7" s="76">
        <v>30601.0</v>
      </c>
      <c r="AN7" s="77">
        <v>1700.0</v>
      </c>
      <c r="AO7" s="79">
        <f>VLOOKUP(T7,AP2:AQ16,2,1)</f>
        <v>3000</v>
      </c>
      <c r="AP7" s="76">
        <v>30601.0</v>
      </c>
      <c r="AQ7" s="77">
        <v>2300.0</v>
      </c>
      <c r="AR7" s="80">
        <f t="shared" si="9"/>
        <v>4700</v>
      </c>
      <c r="AS7" s="80">
        <v>30601.0</v>
      </c>
      <c r="AT7" s="80">
        <v>3600.0</v>
      </c>
      <c r="AU7" s="82">
        <f>VLOOKUP(T7,AV5:AW8,2,1)</f>
        <v>400</v>
      </c>
      <c r="AV7" s="76">
        <v>41101.0</v>
      </c>
      <c r="AW7" s="77">
        <v>720.0</v>
      </c>
      <c r="AX7" s="107">
        <f t="shared" si="12"/>
        <v>800</v>
      </c>
      <c r="AY7" s="108">
        <v>41101.0</v>
      </c>
      <c r="AZ7" s="109">
        <v>1200.0</v>
      </c>
      <c r="BA7" s="86">
        <f t="shared" si="1"/>
        <v>-862896</v>
      </c>
      <c r="BB7" s="86">
        <f t="shared" si="2"/>
        <v>0</v>
      </c>
      <c r="BC7" s="86">
        <f t="shared" si="3"/>
        <v>0</v>
      </c>
      <c r="BD7" s="86">
        <f t="shared" si="4"/>
        <v>0</v>
      </c>
      <c r="BF7" s="15" t="s">
        <v>152</v>
      </c>
      <c r="BG7" s="15">
        <f t="shared" si="13"/>
        <v>1200</v>
      </c>
      <c r="BH7" s="15">
        <f t="shared" si="14"/>
        <v>40800</v>
      </c>
      <c r="BI7" s="15">
        <f t="shared" si="15"/>
        <v>1200</v>
      </c>
      <c r="BJ7" s="15">
        <f t="shared" si="16"/>
        <v>42000</v>
      </c>
    </row>
    <row r="8" ht="15.0" customHeight="1">
      <c r="A8" s="110">
        <v>2.0</v>
      </c>
      <c r="B8" s="111" t="s">
        <v>138</v>
      </c>
      <c r="C8" s="111" t="s">
        <v>153</v>
      </c>
      <c r="D8" s="111"/>
      <c r="E8" s="111"/>
      <c r="F8" s="111"/>
      <c r="G8" s="111"/>
      <c r="H8" s="111"/>
      <c r="I8" s="111"/>
      <c r="J8" s="111"/>
      <c r="K8" s="116" t="s">
        <v>143</v>
      </c>
      <c r="L8" s="117">
        <v>75000.0</v>
      </c>
      <c r="M8" s="32"/>
      <c r="N8" s="118"/>
      <c r="O8" s="119"/>
      <c r="P8" s="114"/>
      <c r="Q8" s="99" t="str">
        <f>"JUN -  "&amp;INPUT!B12&amp;""</f>
        <v>JUN -  2025</v>
      </c>
      <c r="R8" s="101">
        <f>R7</f>
        <v>55</v>
      </c>
      <c r="S8" s="102" t="s">
        <v>115</v>
      </c>
      <c r="T8" s="103">
        <f>IF(INPUT!G14=6,BJ8,T7)</f>
        <v>39600</v>
      </c>
      <c r="U8" s="103">
        <f t="shared" si="5"/>
        <v>21780</v>
      </c>
      <c r="V8" s="104">
        <f t="shared" si="10"/>
        <v>2000</v>
      </c>
      <c r="W8" s="104">
        <f>IF(INPUT!E7=1,AF8,IF(INPUT!E7=2,AI8,IF(INPUT!E7=3,AL8,IF(INPUT!E7=4,AO8,IF(INPUT!E7=5,AR5,0)))))</f>
        <v>2300</v>
      </c>
      <c r="X8" s="104">
        <f>IF(INPUT!E10=1,AU8,IF(INPUT!E10=2,AX5,0))</f>
        <v>0</v>
      </c>
      <c r="Y8" s="104">
        <f t="shared" ref="Y8:Z8" si="17">Y7</f>
        <v>300</v>
      </c>
      <c r="Z8" s="101">
        <f t="shared" si="17"/>
        <v>2500</v>
      </c>
      <c r="AA8" s="101">
        <f t="shared" si="7"/>
        <v>68480</v>
      </c>
      <c r="AB8" s="103">
        <f>INPUT!G5</f>
        <v>0</v>
      </c>
      <c r="AD8" s="105">
        <f>ROUND(T8*3%,-2)</f>
        <v>1200</v>
      </c>
      <c r="AE8" s="74">
        <f t="shared" si="8"/>
        <v>21780</v>
      </c>
      <c r="AF8" s="75">
        <f>VLOOKUP(T8,AG2:AH16,2,1)</f>
        <v>600</v>
      </c>
      <c r="AG8" s="76">
        <v>35401.0</v>
      </c>
      <c r="AH8" s="77">
        <v>550.0</v>
      </c>
      <c r="AI8" s="78">
        <f>VLOOKUP(T8,AJ2:AK16,2,1)</f>
        <v>1700</v>
      </c>
      <c r="AJ8" s="76">
        <v>35401.0</v>
      </c>
      <c r="AK8" s="77">
        <v>1500.0</v>
      </c>
      <c r="AL8" s="75">
        <f>VLOOKUP(T8,AM2:AN16,2,1)</f>
        <v>2300</v>
      </c>
      <c r="AM8" s="76">
        <v>35401.0</v>
      </c>
      <c r="AN8" s="77">
        <v>1800.0</v>
      </c>
      <c r="AO8" s="79">
        <f>VLOOKUP(T8,AP2:AQ16,2,1)</f>
        <v>3000</v>
      </c>
      <c r="AP8" s="76">
        <v>35401.0</v>
      </c>
      <c r="AQ8" s="77">
        <v>2600.0</v>
      </c>
      <c r="AR8" s="80">
        <f t="shared" si="9"/>
        <v>4700</v>
      </c>
      <c r="AS8" s="80">
        <v>35401.0</v>
      </c>
      <c r="AT8" s="80">
        <v>4200.0</v>
      </c>
      <c r="AU8" s="82">
        <f>VLOOKUP(T8,AV5:AW8,2,1)</f>
        <v>400</v>
      </c>
      <c r="AV8" s="83"/>
      <c r="AW8" s="84"/>
      <c r="AX8" s="107">
        <f t="shared" si="12"/>
        <v>800</v>
      </c>
      <c r="AY8" s="57"/>
      <c r="AZ8" s="58"/>
      <c r="BA8" s="86">
        <f t="shared" si="1"/>
        <v>-1262896</v>
      </c>
      <c r="BB8" s="86">
        <f t="shared" si="2"/>
        <v>0</v>
      </c>
      <c r="BC8" s="86">
        <f t="shared" si="3"/>
        <v>0</v>
      </c>
      <c r="BD8" s="86">
        <f t="shared" si="4"/>
        <v>0</v>
      </c>
      <c r="BF8" s="15" t="s">
        <v>160</v>
      </c>
      <c r="BG8" s="15">
        <f t="shared" si="13"/>
        <v>1200</v>
      </c>
      <c r="BH8" s="15">
        <f t="shared" si="14"/>
        <v>40800</v>
      </c>
      <c r="BI8" s="15">
        <f t="shared" si="15"/>
        <v>1200</v>
      </c>
      <c r="BJ8" s="15">
        <f t="shared" si="16"/>
        <v>42000</v>
      </c>
    </row>
    <row r="9" ht="15.0" customHeight="1">
      <c r="A9" s="110">
        <v>3.0</v>
      </c>
      <c r="B9" s="111" t="s">
        <v>138</v>
      </c>
      <c r="C9" s="111" t="s">
        <v>161</v>
      </c>
      <c r="D9" s="111"/>
      <c r="E9" s="111"/>
      <c r="F9" s="111"/>
      <c r="G9" s="111"/>
      <c r="H9" s="111"/>
      <c r="I9" s="111"/>
      <c r="J9" s="111"/>
      <c r="K9" s="120" t="s">
        <v>143</v>
      </c>
      <c r="L9" s="113">
        <f>Z24</f>
        <v>29677</v>
      </c>
      <c r="M9" s="60"/>
      <c r="N9" s="118"/>
      <c r="O9" s="119"/>
      <c r="P9" s="114"/>
      <c r="Q9" s="99" t="str">
        <f>"JULY  -"&amp;INPUT!B12&amp;""</f>
        <v>JULY  -2025</v>
      </c>
      <c r="R9" s="101">
        <v>55.0</v>
      </c>
      <c r="S9" s="102" t="s">
        <v>115</v>
      </c>
      <c r="T9" s="103">
        <f>IF(AND(INPUT!E3=7,INPUT!G14=7),BL9,IF(INPUT!E3=7,AD9,IF(INPUT!G14=7,BJ9,T8)))</f>
        <v>40800</v>
      </c>
      <c r="U9" s="103">
        <f t="shared" si="5"/>
        <v>22440</v>
      </c>
      <c r="V9" s="104">
        <f t="shared" si="10"/>
        <v>2000</v>
      </c>
      <c r="W9" s="104">
        <f>IF(INPUT!E7=1,AF9,IF(INPUT!E7=2,AI9,IF(INPUT!E7=3,AL9,IF(INPUT!E7=4,AO9,IF(INPUT!E7=5,AR5,0)))))</f>
        <v>2300</v>
      </c>
      <c r="X9" s="104">
        <f>IF(INPUT!E10=1,AU9,IF(INPUT!E10=2,AX5,0))</f>
        <v>0</v>
      </c>
      <c r="Y9" s="104">
        <f t="shared" ref="Y9:Z9" si="18">Y8</f>
        <v>300</v>
      </c>
      <c r="Z9" s="101">
        <f t="shared" si="18"/>
        <v>2500</v>
      </c>
      <c r="AA9" s="101">
        <f t="shared" si="7"/>
        <v>70340</v>
      </c>
      <c r="AB9" s="103">
        <f>INPUT!G6</f>
        <v>0</v>
      </c>
      <c r="AD9" s="105">
        <f>T8+AD8</f>
        <v>40800</v>
      </c>
      <c r="AE9" s="74">
        <f t="shared" si="8"/>
        <v>22440</v>
      </c>
      <c r="AF9" s="75">
        <f>VLOOKUP(T9,AG2:AH16,2,1)</f>
        <v>600</v>
      </c>
      <c r="AG9" s="76">
        <v>37301.0</v>
      </c>
      <c r="AH9" s="77">
        <v>600.0</v>
      </c>
      <c r="AI9" s="78">
        <f>VLOOKUP(T9,AJ2:AK16,2,1)</f>
        <v>1700</v>
      </c>
      <c r="AJ9" s="76">
        <v>37301.0</v>
      </c>
      <c r="AK9" s="77">
        <v>1700.0</v>
      </c>
      <c r="AL9" s="75">
        <f>VLOOKUP(T9,AM2:AN16,2,1)</f>
        <v>2300</v>
      </c>
      <c r="AM9" s="76">
        <v>37301.0</v>
      </c>
      <c r="AN9" s="77">
        <v>2300.0</v>
      </c>
      <c r="AO9" s="79">
        <f>VLOOKUP(T9,AP2:AQ16,2,1)</f>
        <v>3000</v>
      </c>
      <c r="AP9" s="76">
        <v>37301.0</v>
      </c>
      <c r="AQ9" s="77">
        <v>3000.0</v>
      </c>
      <c r="AR9" s="80">
        <f t="shared" si="9"/>
        <v>4700</v>
      </c>
      <c r="AS9" s="80">
        <v>37301.0</v>
      </c>
      <c r="AT9" s="80">
        <v>4700.0</v>
      </c>
      <c r="AU9" s="82">
        <f>VLOOKUP(T9,AV6:AW8,2,1)</f>
        <v>400</v>
      </c>
      <c r="AV9" s="83"/>
      <c r="AW9" s="84"/>
      <c r="AX9" s="107">
        <f t="shared" si="12"/>
        <v>800</v>
      </c>
      <c r="AY9" s="57"/>
      <c r="AZ9" s="58"/>
      <c r="BA9" s="86">
        <f t="shared" si="1"/>
        <v>-1662896</v>
      </c>
      <c r="BB9" s="86">
        <f t="shared" si="2"/>
        <v>0</v>
      </c>
      <c r="BC9" s="86">
        <f t="shared" si="3"/>
        <v>0</v>
      </c>
      <c r="BD9" s="86">
        <f t="shared" si="4"/>
        <v>0</v>
      </c>
      <c r="BF9" s="15" t="s">
        <v>174</v>
      </c>
      <c r="BG9" s="15">
        <f t="shared" si="13"/>
        <v>1200</v>
      </c>
      <c r="BH9" s="15">
        <f t="shared" si="14"/>
        <v>40800</v>
      </c>
      <c r="BI9" s="15">
        <f t="shared" si="15"/>
        <v>1200</v>
      </c>
      <c r="BJ9" s="15">
        <f t="shared" si="16"/>
        <v>42000</v>
      </c>
      <c r="BK9" s="15">
        <f>ROUND(BJ9*3%,-2)</f>
        <v>1300</v>
      </c>
      <c r="BL9" s="15">
        <f>BJ9+BK9</f>
        <v>43300</v>
      </c>
    </row>
    <row r="10" ht="15.0" customHeight="1">
      <c r="A10" s="110">
        <v>4.0</v>
      </c>
      <c r="B10" s="111" t="s">
        <v>138</v>
      </c>
      <c r="C10" s="111" t="s">
        <v>175</v>
      </c>
      <c r="D10" s="111"/>
      <c r="E10" s="111"/>
      <c r="F10" s="111"/>
      <c r="G10" s="111"/>
      <c r="H10" s="111"/>
      <c r="I10" s="111"/>
      <c r="J10" s="111"/>
      <c r="K10" s="120" t="s">
        <v>143</v>
      </c>
      <c r="L10" s="121">
        <f>L8+L9</f>
        <v>104677</v>
      </c>
      <c r="M10" s="60"/>
      <c r="N10" s="116" t="s">
        <v>143</v>
      </c>
      <c r="O10" s="117">
        <f>L10</f>
        <v>104677</v>
      </c>
      <c r="P10" s="114"/>
      <c r="Q10" s="99" t="str">
        <f>"AUG - "&amp;INPUT!B12&amp;""</f>
        <v>AUG - 2025</v>
      </c>
      <c r="R10" s="101">
        <f t="shared" ref="R10:R12" si="20">R9</f>
        <v>55</v>
      </c>
      <c r="S10" s="102" t="s">
        <v>115</v>
      </c>
      <c r="T10" s="103">
        <f>IF(INPUT!G14=8,BJ10,T9)</f>
        <v>40800</v>
      </c>
      <c r="U10" s="103">
        <f t="shared" si="5"/>
        <v>22440</v>
      </c>
      <c r="V10" s="104">
        <f t="shared" si="10"/>
        <v>2000</v>
      </c>
      <c r="W10" s="104">
        <f>IF(INPUT!E7=1,AF10,IF(INPUT!E7=2,AI10,IF(INPUT!E7=3,AL10,IF(INPUT!E7=4,AO10,IF(INPUT!E7=5,AR5,0)))))</f>
        <v>2300</v>
      </c>
      <c r="X10" s="104">
        <f>IF(INPUT!E10=1,AU10,IF(INPUT!E10=2,AX5,0))</f>
        <v>0</v>
      </c>
      <c r="Y10" s="104">
        <f t="shared" ref="Y10:Z10" si="19">Y9</f>
        <v>300</v>
      </c>
      <c r="Z10" s="101">
        <f t="shared" si="19"/>
        <v>2500</v>
      </c>
      <c r="AA10" s="101">
        <f t="shared" si="7"/>
        <v>70340</v>
      </c>
      <c r="AB10" s="103">
        <f>INPUT!G7</f>
        <v>0</v>
      </c>
      <c r="AD10" s="115" t="s">
        <v>36</v>
      </c>
      <c r="AE10" s="74">
        <f t="shared" si="8"/>
        <v>22440</v>
      </c>
      <c r="AF10" s="75">
        <f>VLOOKUP(T10,AG2:AH16,2,1)</f>
        <v>600</v>
      </c>
      <c r="AG10" s="76">
        <v>41101.0</v>
      </c>
      <c r="AH10" s="77">
        <v>650.0</v>
      </c>
      <c r="AI10" s="78">
        <f>VLOOKUP(T10,AJ2:AK16,2,1)</f>
        <v>1700</v>
      </c>
      <c r="AJ10" s="76">
        <v>41101.0</v>
      </c>
      <c r="AK10" s="77">
        <v>1900.0</v>
      </c>
      <c r="AL10" s="75">
        <f>VLOOKUP(T10,AM2:AN16,2,1)</f>
        <v>2300</v>
      </c>
      <c r="AM10" s="76">
        <v>41101.0</v>
      </c>
      <c r="AN10" s="77">
        <v>2600.0</v>
      </c>
      <c r="AO10" s="79">
        <f>VLOOKUP(T10,AP2:AQ16,2,1)</f>
        <v>3000</v>
      </c>
      <c r="AP10" s="76">
        <v>41101.0</v>
      </c>
      <c r="AQ10" s="77">
        <v>3300.0</v>
      </c>
      <c r="AR10" s="80">
        <f t="shared" si="9"/>
        <v>4700</v>
      </c>
      <c r="AS10" s="80">
        <v>41101.0</v>
      </c>
      <c r="AT10" s="80">
        <v>5200.0</v>
      </c>
      <c r="AU10" s="82">
        <f>VLOOKUP(T10,AV6:AW8,2,1)</f>
        <v>400</v>
      </c>
      <c r="AV10" s="83"/>
      <c r="AW10" s="84"/>
      <c r="AX10" s="107">
        <f t="shared" si="12"/>
        <v>800</v>
      </c>
      <c r="AY10" s="57"/>
      <c r="AZ10" s="58"/>
      <c r="BA10" s="86">
        <f t="shared" si="1"/>
        <v>-2062896</v>
      </c>
      <c r="BB10" s="86"/>
      <c r="BC10" s="86"/>
      <c r="BD10" s="86"/>
      <c r="BF10" s="15" t="s">
        <v>183</v>
      </c>
      <c r="BG10" s="15">
        <f t="shared" si="13"/>
        <v>1200</v>
      </c>
      <c r="BH10" s="15">
        <f t="shared" si="14"/>
        <v>42000</v>
      </c>
      <c r="BI10" s="15">
        <f t="shared" si="15"/>
        <v>1300</v>
      </c>
      <c r="BJ10" s="15">
        <f t="shared" si="16"/>
        <v>43300</v>
      </c>
    </row>
    <row r="11" ht="15.0" customHeight="1">
      <c r="A11" s="110">
        <v>5.0</v>
      </c>
      <c r="B11" s="111" t="s">
        <v>138</v>
      </c>
      <c r="C11" s="111" t="s">
        <v>184</v>
      </c>
      <c r="D11" s="111"/>
      <c r="E11" s="111"/>
      <c r="F11" s="111"/>
      <c r="G11" s="111"/>
      <c r="H11" s="111"/>
      <c r="I11" s="111"/>
      <c r="J11" s="111"/>
      <c r="K11" s="119"/>
      <c r="L11" s="122"/>
      <c r="M11" s="122"/>
      <c r="N11" s="116" t="s">
        <v>143</v>
      </c>
      <c r="O11" s="117">
        <f>O7-O10</f>
        <v>737104</v>
      </c>
      <c r="P11" s="114"/>
      <c r="Q11" s="99" t="str">
        <f>"SEP  -  "&amp;INPUT!B12&amp;""</f>
        <v>SEP  -  2025</v>
      </c>
      <c r="R11" s="101">
        <f t="shared" si="20"/>
        <v>55</v>
      </c>
      <c r="S11" s="102" t="s">
        <v>115</v>
      </c>
      <c r="T11" s="103">
        <f>IF(INPUT!G14=9,BJ11,T10)</f>
        <v>40800</v>
      </c>
      <c r="U11" s="103">
        <f t="shared" si="5"/>
        <v>22440</v>
      </c>
      <c r="V11" s="104">
        <f t="shared" si="10"/>
        <v>2000</v>
      </c>
      <c r="W11" s="104">
        <f>IF(INPUT!E7=1,AF11,IF(INPUT!E7=2,AI11,IF(INPUT!E7=3,AL11,IF(INPUT!E7=4,AO11,IF(INPUT!E7=5,AR5,0)))))</f>
        <v>2300</v>
      </c>
      <c r="X11" s="104">
        <f>IF(INPUT!E10=1,AU11,IF(INPUT!E10=2,AX5,0))</f>
        <v>0</v>
      </c>
      <c r="Y11" s="104">
        <f t="shared" ref="Y11:Z11" si="21">Y10</f>
        <v>300</v>
      </c>
      <c r="Z11" s="101">
        <f t="shared" si="21"/>
        <v>2500</v>
      </c>
      <c r="AA11" s="101">
        <f t="shared" si="7"/>
        <v>70340</v>
      </c>
      <c r="AB11" s="103">
        <f>INPUT!G8</f>
        <v>0</v>
      </c>
      <c r="AD11" s="105">
        <f>ROUND(T11*3%,-2)</f>
        <v>1200</v>
      </c>
      <c r="AE11" s="74">
        <f t="shared" si="8"/>
        <v>22440</v>
      </c>
      <c r="AF11" s="75">
        <f>VLOOKUP(T11,AG2:AH16,2,1)</f>
        <v>600</v>
      </c>
      <c r="AG11" s="76">
        <v>44501.0</v>
      </c>
      <c r="AH11" s="77">
        <v>650.0</v>
      </c>
      <c r="AI11" s="78">
        <f>VLOOKUP(T11,AJ2:AK16,2,1)</f>
        <v>1700</v>
      </c>
      <c r="AJ11" s="76">
        <v>44501.0</v>
      </c>
      <c r="AK11" s="77">
        <v>2000.0</v>
      </c>
      <c r="AL11" s="75">
        <f>VLOOKUP(T11,AM2:AN16,2,1)</f>
        <v>2300</v>
      </c>
      <c r="AM11" s="76">
        <v>44501.0</v>
      </c>
      <c r="AN11" s="77">
        <v>2900.0</v>
      </c>
      <c r="AO11" s="79">
        <f>VLOOKUP(T11,AP2:AQ16,2,1)</f>
        <v>3000</v>
      </c>
      <c r="AP11" s="76">
        <v>44501.0</v>
      </c>
      <c r="AQ11" s="77">
        <v>3600.0</v>
      </c>
      <c r="AR11" s="80">
        <f t="shared" si="9"/>
        <v>4700</v>
      </c>
      <c r="AS11" s="80">
        <v>44501.0</v>
      </c>
      <c r="AT11" s="80">
        <v>5700.0</v>
      </c>
      <c r="AU11" s="82">
        <f>VLOOKUP(T11,AV5:AW8,2,1)</f>
        <v>400</v>
      </c>
      <c r="AV11" s="83"/>
      <c r="AW11" s="84"/>
      <c r="AX11" s="107">
        <f t="shared" si="12"/>
        <v>800</v>
      </c>
      <c r="AY11" s="57"/>
      <c r="AZ11" s="58"/>
      <c r="BF11" s="15" t="s">
        <v>191</v>
      </c>
      <c r="BG11" s="15">
        <f t="shared" si="13"/>
        <v>1200</v>
      </c>
      <c r="BH11" s="15">
        <f t="shared" si="14"/>
        <v>42000</v>
      </c>
      <c r="BI11" s="15">
        <f t="shared" si="15"/>
        <v>1300</v>
      </c>
      <c r="BJ11" s="15">
        <f t="shared" si="16"/>
        <v>43300</v>
      </c>
    </row>
    <row r="12" ht="15.0" customHeight="1">
      <c r="A12" s="123" t="s">
        <v>192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1"/>
      <c r="P12" s="114"/>
      <c r="Q12" s="99" t="str">
        <f>"OCT -  "&amp;INPUT!B12&amp;""</f>
        <v>OCT -  2025</v>
      </c>
      <c r="R12" s="101">
        <f t="shared" si="20"/>
        <v>55</v>
      </c>
      <c r="S12" s="102" t="s">
        <v>115</v>
      </c>
      <c r="T12" s="103">
        <f>IF(AND(INPUT!E3=10,INPUT!G14=10),BL12,IF(INPUT!E3=10,AD12,IF(INPUT!G14=10,BJ12,T11)))</f>
        <v>40800</v>
      </c>
      <c r="U12" s="103">
        <f t="shared" si="5"/>
        <v>22440</v>
      </c>
      <c r="V12" s="104">
        <f t="shared" si="10"/>
        <v>2000</v>
      </c>
      <c r="W12" s="104">
        <f>IF(INPUT!E7=1,AF12,IF(INPUT!E7=2,AI12,IF(INPUT!E7=3,AL12,IF(INPUT!E7=4,AO12,IF(INPUT!E7=5,AR5,0)))))</f>
        <v>2300</v>
      </c>
      <c r="X12" s="104">
        <f>IF(INPUT!E10=1,AU12,IF(INPUT!E10=2,AX5,0))</f>
        <v>0</v>
      </c>
      <c r="Y12" s="104">
        <f t="shared" ref="Y12:Z12" si="22">Y11</f>
        <v>300</v>
      </c>
      <c r="Z12" s="101">
        <f t="shared" si="22"/>
        <v>2500</v>
      </c>
      <c r="AA12" s="101">
        <f t="shared" si="7"/>
        <v>70340</v>
      </c>
      <c r="AB12" s="103">
        <f>INPUT!G9</f>
        <v>0</v>
      </c>
      <c r="AD12" s="105">
        <f>T11+AD11</f>
        <v>42000</v>
      </c>
      <c r="AE12" s="74">
        <f t="shared" si="8"/>
        <v>22440</v>
      </c>
      <c r="AF12" s="75">
        <f>VLOOKUP(T12,AG2:AH16,2,1)</f>
        <v>600</v>
      </c>
      <c r="AG12" s="76">
        <v>50201.0</v>
      </c>
      <c r="AH12" s="77">
        <v>700.0</v>
      </c>
      <c r="AI12" s="78">
        <f>VLOOKUP(T12,AJ2:AK16,2,1)</f>
        <v>1700</v>
      </c>
      <c r="AJ12" s="76">
        <v>50201.0</v>
      </c>
      <c r="AK12" s="77">
        <v>2200.0</v>
      </c>
      <c r="AL12" s="75">
        <f>VLOOKUP(T12,AM2:AN16,2,1)</f>
        <v>2300</v>
      </c>
      <c r="AM12" s="76">
        <v>50201.0</v>
      </c>
      <c r="AN12" s="77">
        <v>3100.0</v>
      </c>
      <c r="AO12" s="79">
        <f>VLOOKUP(T12,AP2:AQ16,2,1)</f>
        <v>3000</v>
      </c>
      <c r="AP12" s="76">
        <v>50201.0</v>
      </c>
      <c r="AQ12" s="77">
        <v>3800.0</v>
      </c>
      <c r="AR12" s="80">
        <f t="shared" si="9"/>
        <v>4700</v>
      </c>
      <c r="AS12" s="80">
        <v>50201.0</v>
      </c>
      <c r="AT12" s="80">
        <v>6200.0</v>
      </c>
      <c r="AU12" s="82">
        <f>VLOOKUP(T12,AV6:AW8,2,1)</f>
        <v>400</v>
      </c>
      <c r="AV12" s="83"/>
      <c r="AW12" s="84"/>
      <c r="AX12" s="107">
        <f t="shared" si="12"/>
        <v>800</v>
      </c>
      <c r="AY12" s="57"/>
      <c r="AZ12" s="58"/>
      <c r="BF12" s="15" t="s">
        <v>199</v>
      </c>
      <c r="BG12" s="15">
        <f t="shared" si="13"/>
        <v>1200</v>
      </c>
      <c r="BH12" s="15">
        <f t="shared" si="14"/>
        <v>42000</v>
      </c>
      <c r="BI12" s="15">
        <f t="shared" si="15"/>
        <v>1300</v>
      </c>
      <c r="BJ12" s="15">
        <f t="shared" si="16"/>
        <v>43300</v>
      </c>
      <c r="BK12" s="15">
        <f>ROUND(BJ12*3%,-2)</f>
        <v>1300</v>
      </c>
      <c r="BL12" s="15">
        <f>BJ12+BK12</f>
        <v>44600</v>
      </c>
    </row>
    <row r="13" ht="15.0" customHeight="1">
      <c r="A13" s="124" t="s">
        <v>200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125"/>
      <c r="O13" s="126">
        <f>O11</f>
        <v>737104</v>
      </c>
      <c r="P13" s="114"/>
      <c r="Q13" s="99" t="str">
        <f>"NOV - "&amp;INPUT!B12&amp;""</f>
        <v>NOV - 2025</v>
      </c>
      <c r="R13" s="101">
        <v>58.0</v>
      </c>
      <c r="S13" s="102" t="s">
        <v>115</v>
      </c>
      <c r="T13" s="103">
        <f t="shared" ref="T13:Z13" si="23">T43</f>
        <v>40800</v>
      </c>
      <c r="U13" s="103">
        <f t="shared" si="23"/>
        <v>23664</v>
      </c>
      <c r="V13" s="103">
        <f t="shared" si="23"/>
        <v>2000</v>
      </c>
      <c r="W13" s="103">
        <f t="shared" si="23"/>
        <v>2300</v>
      </c>
      <c r="X13" s="103">
        <f t="shared" si="23"/>
        <v>0</v>
      </c>
      <c r="Y13" s="103">
        <f t="shared" si="23"/>
        <v>300</v>
      </c>
      <c r="Z13" s="103">
        <f t="shared" si="23"/>
        <v>2500</v>
      </c>
      <c r="AA13" s="101">
        <f t="shared" si="7"/>
        <v>71564</v>
      </c>
      <c r="AB13" s="103">
        <f>INPUT!G10</f>
        <v>0</v>
      </c>
      <c r="AD13" s="115" t="s">
        <v>47</v>
      </c>
      <c r="AE13" s="74">
        <f t="shared" si="8"/>
        <v>23664</v>
      </c>
      <c r="AF13" s="75">
        <f>VLOOKUP(T13,AG2:AH16,2,1)</f>
        <v>600</v>
      </c>
      <c r="AG13" s="76">
        <v>51601.0</v>
      </c>
      <c r="AH13" s="77">
        <v>750.0</v>
      </c>
      <c r="AI13" s="78">
        <f>VLOOKUP(T13,AJ2:AK16,2,1)</f>
        <v>1700</v>
      </c>
      <c r="AJ13" s="76">
        <v>51601.0</v>
      </c>
      <c r="AK13" s="77">
        <v>2200.0</v>
      </c>
      <c r="AL13" s="75">
        <f>VLOOKUP(T13,AM2:AN16,2,1)</f>
        <v>2300</v>
      </c>
      <c r="AM13" s="76">
        <v>51601.0</v>
      </c>
      <c r="AN13" s="77">
        <v>3200.0</v>
      </c>
      <c r="AO13" s="79">
        <f>VLOOKUP(T13,AP2:AQ16,2,1)</f>
        <v>3000</v>
      </c>
      <c r="AP13" s="76">
        <v>51601.0</v>
      </c>
      <c r="AQ13" s="77">
        <v>4100.0</v>
      </c>
      <c r="AR13" s="80">
        <f t="shared" si="9"/>
        <v>4700</v>
      </c>
      <c r="AS13" s="80">
        <v>51601.0</v>
      </c>
      <c r="AT13" s="80">
        <v>6800.0</v>
      </c>
      <c r="AU13" s="82">
        <f>VLOOKUP(T13,AV6:AW8,2,1)</f>
        <v>400</v>
      </c>
      <c r="AV13" s="83"/>
      <c r="AW13" s="84"/>
      <c r="AX13" s="107">
        <f t="shared" si="12"/>
        <v>800</v>
      </c>
      <c r="AY13" s="57"/>
      <c r="AZ13" s="58"/>
      <c r="BF13" s="15" t="s">
        <v>207</v>
      </c>
      <c r="BG13" s="15">
        <f t="shared" si="13"/>
        <v>1200</v>
      </c>
      <c r="BH13" s="15">
        <f t="shared" si="14"/>
        <v>42000</v>
      </c>
      <c r="BI13" s="15">
        <f t="shared" si="15"/>
        <v>1300</v>
      </c>
      <c r="BJ13" s="15">
        <f t="shared" si="16"/>
        <v>43300</v>
      </c>
    </row>
    <row r="14" ht="15.0" customHeight="1">
      <c r="A14" s="127" t="s">
        <v>208</v>
      </c>
      <c r="B14" s="60"/>
      <c r="C14" s="60"/>
      <c r="D14" s="60"/>
      <c r="E14" s="60"/>
      <c r="F14" s="61"/>
      <c r="G14" s="128">
        <f>IF(O13&gt;=0,O13,0)</f>
        <v>737104</v>
      </c>
      <c r="H14" s="60"/>
      <c r="I14" s="61"/>
      <c r="J14" s="63">
        <v>400000.0</v>
      </c>
      <c r="K14" s="60"/>
      <c r="L14" s="60"/>
      <c r="M14" s="61"/>
      <c r="N14" s="129"/>
      <c r="O14" s="130" t="s">
        <v>209</v>
      </c>
      <c r="P14" s="114"/>
      <c r="Q14" s="99" t="str">
        <f>"DEC -  "&amp;INPUT!B12&amp;""</f>
        <v>DEC -  2025</v>
      </c>
      <c r="R14" s="101">
        <f t="shared" ref="R14:R16" si="24">R13</f>
        <v>58</v>
      </c>
      <c r="S14" s="102" t="s">
        <v>115</v>
      </c>
      <c r="T14" s="103">
        <f>IF(INPUT!G14=12,BJ14,T38)</f>
        <v>40800</v>
      </c>
      <c r="U14" s="103">
        <f>AE14</f>
        <v>23664</v>
      </c>
      <c r="V14" s="104">
        <f>V12</f>
        <v>2000</v>
      </c>
      <c r="W14" s="104">
        <f>IF(INPUT!E7=1,AF14,IF(INPUT!E7=2,AI14,IF(INPUT!E7=3,AL14,IF(INPUT!E7=4,AO14,IF(INPUT!E7=5,AR5,0)))))</f>
        <v>2300</v>
      </c>
      <c r="X14" s="104">
        <f>IF(INPUT!E10=1,AU14,IF(INPUT!E10=2,AX5,0))</f>
        <v>0</v>
      </c>
      <c r="Y14" s="104">
        <f>Y12</f>
        <v>300</v>
      </c>
      <c r="Z14" s="101">
        <f>Z13</f>
        <v>2500</v>
      </c>
      <c r="AA14" s="101">
        <f t="shared" si="7"/>
        <v>71564</v>
      </c>
      <c r="AB14" s="103">
        <f>INPUT!G11</f>
        <v>0</v>
      </c>
      <c r="AD14" s="105">
        <f>ROUND(T14*3%,-2)</f>
        <v>1200</v>
      </c>
      <c r="AE14" s="74">
        <f t="shared" si="8"/>
        <v>23664</v>
      </c>
      <c r="AF14" s="75">
        <f>VLOOKUP(T14,AG2:AH16,2,1)</f>
        <v>600</v>
      </c>
      <c r="AG14" s="76">
        <v>54001.0</v>
      </c>
      <c r="AH14" s="77">
        <v>800.0</v>
      </c>
      <c r="AI14" s="78">
        <f>VLOOKUP(T14,AJ2:AK16,2,1)</f>
        <v>1700</v>
      </c>
      <c r="AJ14" s="76">
        <v>54001.0</v>
      </c>
      <c r="AK14" s="77">
        <v>2200.0</v>
      </c>
      <c r="AL14" s="75">
        <f>VLOOKUP(T14,AM2:AN16,2,1)</f>
        <v>2300</v>
      </c>
      <c r="AM14" s="76">
        <v>54001.0</v>
      </c>
      <c r="AN14" s="77">
        <v>3200.0</v>
      </c>
      <c r="AO14" s="79">
        <f>VLOOKUP(T14,AP2:AQ16,2,1)</f>
        <v>3000</v>
      </c>
      <c r="AP14" s="76">
        <v>54001.0</v>
      </c>
      <c r="AQ14" s="77">
        <v>4300.0</v>
      </c>
      <c r="AR14" s="80">
        <f t="shared" si="9"/>
        <v>4700</v>
      </c>
      <c r="AS14" s="80">
        <v>54001.0</v>
      </c>
      <c r="AT14" s="80">
        <v>7300.0</v>
      </c>
      <c r="AU14" s="82">
        <f>VLOOKUP(T14,AV6:AW8,2,1)</f>
        <v>400</v>
      </c>
      <c r="AV14" s="83"/>
      <c r="AW14" s="84"/>
      <c r="AX14" s="107">
        <f t="shared" si="12"/>
        <v>800</v>
      </c>
      <c r="AY14" s="57"/>
      <c r="AZ14" s="58"/>
      <c r="BF14" s="15" t="s">
        <v>215</v>
      </c>
      <c r="BG14" s="15">
        <f t="shared" si="13"/>
        <v>1200</v>
      </c>
      <c r="BH14" s="15">
        <f t="shared" si="14"/>
        <v>42000</v>
      </c>
      <c r="BI14" s="15">
        <f t="shared" si="15"/>
        <v>1300</v>
      </c>
      <c r="BJ14" s="15">
        <f t="shared" si="16"/>
        <v>43300</v>
      </c>
    </row>
    <row r="15" ht="15.0" customHeight="1">
      <c r="A15" s="127" t="s">
        <v>216</v>
      </c>
      <c r="B15" s="60"/>
      <c r="C15" s="60"/>
      <c r="D15" s="60"/>
      <c r="E15" s="60"/>
      <c r="F15" s="61"/>
      <c r="G15" s="63">
        <f t="shared" ref="G15:G20" si="26">BB4</f>
        <v>337104</v>
      </c>
      <c r="H15" s="60"/>
      <c r="I15" s="61"/>
      <c r="J15" s="63">
        <f t="shared" ref="J15:J20" si="27">IF(BB4&gt;400000,BC4,BD4)</f>
        <v>337104</v>
      </c>
      <c r="K15" s="60"/>
      <c r="L15" s="60"/>
      <c r="M15" s="61"/>
      <c r="N15" s="129"/>
      <c r="O15" s="130">
        <f>ROUND(J15*5%,0)</f>
        <v>16855</v>
      </c>
      <c r="P15" s="114"/>
      <c r="Q15" s="99" t="str">
        <f>"JAN -  "&amp;INPUT!B13&amp;""</f>
        <v>JAN -  2026</v>
      </c>
      <c r="R15" s="101">
        <f t="shared" si="24"/>
        <v>58</v>
      </c>
      <c r="S15" s="102" t="s">
        <v>115</v>
      </c>
      <c r="T15" s="103">
        <f t="shared" ref="T15:Z15" si="25">T47</f>
        <v>35535</v>
      </c>
      <c r="U15" s="103">
        <f t="shared" si="25"/>
        <v>20611</v>
      </c>
      <c r="V15" s="103">
        <f t="shared" si="25"/>
        <v>1742</v>
      </c>
      <c r="W15" s="103">
        <f t="shared" si="25"/>
        <v>2003</v>
      </c>
      <c r="X15" s="103">
        <f t="shared" si="25"/>
        <v>0</v>
      </c>
      <c r="Y15" s="103">
        <f t="shared" si="25"/>
        <v>261</v>
      </c>
      <c r="Z15" s="103">
        <f t="shared" si="25"/>
        <v>2177</v>
      </c>
      <c r="AA15" s="101">
        <f t="shared" si="7"/>
        <v>62329</v>
      </c>
      <c r="AB15" s="103">
        <f>INPUT!G12</f>
        <v>0</v>
      </c>
      <c r="AD15" s="105">
        <f>T14+AD14</f>
        <v>42000</v>
      </c>
      <c r="AE15" s="74">
        <f>ROUND(T45*R15%,0)</f>
        <v>23664</v>
      </c>
      <c r="AF15" s="75">
        <f>VLOOKUP(T45,AG2:AH16,2,1)</f>
        <v>600</v>
      </c>
      <c r="AG15" s="76">
        <v>55501.0</v>
      </c>
      <c r="AH15" s="77">
        <v>850.0</v>
      </c>
      <c r="AI15" s="78">
        <f>VLOOKUP(T45,AJ2:AK16,2,1)</f>
        <v>1700</v>
      </c>
      <c r="AJ15" s="76">
        <v>55501.0</v>
      </c>
      <c r="AK15" s="77">
        <v>2200.0</v>
      </c>
      <c r="AL15" s="75">
        <f>VLOOKUP(T45,AM2:AN16,2,1)</f>
        <v>2300</v>
      </c>
      <c r="AM15" s="76">
        <v>55501.0</v>
      </c>
      <c r="AN15" s="77">
        <v>3200.0</v>
      </c>
      <c r="AO15" s="79">
        <f>VLOOKUP(T45,AP2:AQ16,2,1)</f>
        <v>3000</v>
      </c>
      <c r="AP15" s="76">
        <v>55501.0</v>
      </c>
      <c r="AQ15" s="77">
        <v>4300.0</v>
      </c>
      <c r="AR15" s="80">
        <f>VLOOKUP(T45,$AS$2:$AT$17,2,1)</f>
        <v>4700</v>
      </c>
      <c r="AS15" s="80">
        <v>55501.0</v>
      </c>
      <c r="AT15" s="80">
        <v>7500.0</v>
      </c>
      <c r="AU15" s="82">
        <f>VLOOKUP(T45,AV6:AW8,2,1)</f>
        <v>400</v>
      </c>
      <c r="AV15" s="83"/>
      <c r="AW15" s="84"/>
      <c r="AX15" s="107">
        <f>VLOOKUP(T45,$AY$5:$AZ$8,2,1)</f>
        <v>800</v>
      </c>
      <c r="AY15" s="57"/>
      <c r="AZ15" s="58"/>
      <c r="BF15" s="15" t="s">
        <v>222</v>
      </c>
      <c r="BG15" s="15">
        <f t="shared" si="13"/>
        <v>1200</v>
      </c>
      <c r="BH15" s="15">
        <f t="shared" si="14"/>
        <v>42000</v>
      </c>
      <c r="BI15" s="15">
        <f t="shared" si="15"/>
        <v>1300</v>
      </c>
      <c r="BJ15" s="15">
        <f t="shared" si="16"/>
        <v>43300</v>
      </c>
      <c r="BK15" s="15">
        <f>ROUND(BJ15*3%,-2)</f>
        <v>1300</v>
      </c>
      <c r="BL15" s="15">
        <f>BJ15+BK15</f>
        <v>44600</v>
      </c>
    </row>
    <row r="16" ht="15.0" customHeight="1">
      <c r="A16" s="127" t="s">
        <v>223</v>
      </c>
      <c r="B16" s="60"/>
      <c r="C16" s="60"/>
      <c r="D16" s="60"/>
      <c r="E16" s="60"/>
      <c r="F16" s="61"/>
      <c r="G16" s="63">
        <f t="shared" si="26"/>
        <v>0</v>
      </c>
      <c r="H16" s="60"/>
      <c r="I16" s="61"/>
      <c r="J16" s="63">
        <f t="shared" si="27"/>
        <v>0</v>
      </c>
      <c r="K16" s="60"/>
      <c r="L16" s="60"/>
      <c r="M16" s="61"/>
      <c r="N16" s="129"/>
      <c r="O16" s="130">
        <f>ROUND(J16*10%,0)</f>
        <v>0</v>
      </c>
      <c r="P16" s="114"/>
      <c r="Q16" s="99" t="str">
        <f>"FEB -  "&amp;INPUT!B13&amp;""</f>
        <v>FEB -  2026</v>
      </c>
      <c r="R16" s="101">
        <f t="shared" si="24"/>
        <v>58</v>
      </c>
      <c r="S16" s="102" t="s">
        <v>115</v>
      </c>
      <c r="T16" s="103">
        <f t="shared" ref="T16:Z16" si="28">T34</f>
        <v>40800</v>
      </c>
      <c r="U16" s="103">
        <f t="shared" si="28"/>
        <v>23664</v>
      </c>
      <c r="V16" s="103">
        <f t="shared" si="28"/>
        <v>2000</v>
      </c>
      <c r="W16" s="103">
        <f t="shared" si="28"/>
        <v>2300</v>
      </c>
      <c r="X16" s="103">
        <f t="shared" si="28"/>
        <v>0</v>
      </c>
      <c r="Y16" s="103">
        <f t="shared" si="28"/>
        <v>300</v>
      </c>
      <c r="Z16" s="103">
        <f t="shared" si="28"/>
        <v>2500</v>
      </c>
      <c r="AA16" s="101">
        <f t="shared" si="7"/>
        <v>71564</v>
      </c>
      <c r="AB16" s="103"/>
      <c r="AD16" s="131"/>
      <c r="AE16" s="132">
        <f>ROUND(T16*R16%,0)</f>
        <v>23664</v>
      </c>
      <c r="AF16" s="133">
        <f>VLOOKUP(T30,AG2:AH16,2,1)</f>
        <v>600</v>
      </c>
      <c r="AG16" s="134">
        <v>56901.0</v>
      </c>
      <c r="AH16" s="135">
        <v>850.0</v>
      </c>
      <c r="AI16" s="136">
        <f>VLOOKUP(T30,AJ2:AK16,2,1)</f>
        <v>1700</v>
      </c>
      <c r="AJ16" s="134">
        <v>56901.0</v>
      </c>
      <c r="AK16" s="135">
        <v>2200.0</v>
      </c>
      <c r="AL16" s="133">
        <f>VLOOKUP(T30,AM2:AN16,2,1)</f>
        <v>2300</v>
      </c>
      <c r="AM16" s="134">
        <v>56901.0</v>
      </c>
      <c r="AN16" s="135">
        <v>3200.0</v>
      </c>
      <c r="AO16" s="137">
        <f>VLOOKUP(T30,AP2:AQ16,2,1)</f>
        <v>3000</v>
      </c>
      <c r="AP16" s="134">
        <v>56901.0</v>
      </c>
      <c r="AQ16" s="135">
        <v>4300.0</v>
      </c>
      <c r="AR16" s="80">
        <f>VLOOKUP(T30,$AS$2:$AT$17,2,1)</f>
        <v>4700</v>
      </c>
      <c r="AS16" s="138">
        <v>56901.0</v>
      </c>
      <c r="AT16" s="138">
        <v>7800.0</v>
      </c>
      <c r="AU16" s="139">
        <f>VLOOKUP(T30,AV6:AW8,2,1)</f>
        <v>400</v>
      </c>
      <c r="AV16" s="140"/>
      <c r="AW16" s="141"/>
      <c r="AX16" s="107">
        <f>VLOOKUP(T16,$AY$5:$AZ$8,2,1)</f>
        <v>800</v>
      </c>
      <c r="AY16" s="142"/>
      <c r="AZ16" s="143"/>
      <c r="BF16" s="15" t="s">
        <v>229</v>
      </c>
      <c r="BG16" s="15">
        <f t="shared" si="13"/>
        <v>1100</v>
      </c>
      <c r="BH16" s="15">
        <f t="shared" si="14"/>
        <v>36635</v>
      </c>
      <c r="BI16" s="15">
        <f t="shared" si="15"/>
        <v>1100</v>
      </c>
      <c r="BJ16" s="15">
        <f t="shared" si="16"/>
        <v>37735</v>
      </c>
    </row>
    <row r="17" ht="15.0" customHeight="1">
      <c r="A17" s="127" t="s">
        <v>230</v>
      </c>
      <c r="B17" s="60"/>
      <c r="C17" s="60"/>
      <c r="D17" s="60"/>
      <c r="E17" s="60"/>
      <c r="F17" s="61"/>
      <c r="G17" s="63">
        <f t="shared" si="26"/>
        <v>0</v>
      </c>
      <c r="H17" s="60"/>
      <c r="I17" s="61"/>
      <c r="J17" s="63">
        <f t="shared" si="27"/>
        <v>0</v>
      </c>
      <c r="K17" s="60"/>
      <c r="L17" s="60"/>
      <c r="M17" s="61"/>
      <c r="N17" s="129"/>
      <c r="O17" s="130">
        <f>ROUND(J17*15%,0)</f>
        <v>0</v>
      </c>
      <c r="P17" s="114"/>
      <c r="Q17" s="144" t="s">
        <v>234</v>
      </c>
      <c r="R17" s="60"/>
      <c r="S17" s="61"/>
      <c r="T17" s="103">
        <f t="shared" ref="T17:AB17" si="29">SUM(T5:T16)</f>
        <v>479535</v>
      </c>
      <c r="U17" s="103">
        <f t="shared" si="29"/>
        <v>266899</v>
      </c>
      <c r="V17" s="104">
        <f t="shared" si="29"/>
        <v>23742</v>
      </c>
      <c r="W17" s="103">
        <f t="shared" si="29"/>
        <v>27303</v>
      </c>
      <c r="X17" s="103">
        <f t="shared" si="29"/>
        <v>0</v>
      </c>
      <c r="Y17" s="104">
        <f t="shared" si="29"/>
        <v>3561</v>
      </c>
      <c r="Z17" s="104">
        <f t="shared" si="29"/>
        <v>29677</v>
      </c>
      <c r="AA17" s="104">
        <f t="shared" si="29"/>
        <v>830717</v>
      </c>
      <c r="AB17" s="103">
        <f t="shared" si="29"/>
        <v>0</v>
      </c>
      <c r="AD17" s="83"/>
      <c r="AE17" s="83"/>
      <c r="AF17" s="83"/>
      <c r="AG17" s="76"/>
      <c r="AH17" s="76"/>
      <c r="AI17" s="83"/>
      <c r="AL17" s="83"/>
      <c r="AQ17" s="83"/>
      <c r="AR17" s="80">
        <f>VLOOKUP(T17,$AS$2:$AT$17,2,1)</f>
        <v>8300</v>
      </c>
      <c r="AS17" s="83">
        <v>64201.0</v>
      </c>
      <c r="AT17" s="83">
        <v>8300.0</v>
      </c>
      <c r="AU17" s="83"/>
      <c r="AV17" s="83"/>
    </row>
    <row r="18" ht="15.0" customHeight="1">
      <c r="A18" s="127" t="s">
        <v>237</v>
      </c>
      <c r="B18" s="60"/>
      <c r="C18" s="60"/>
      <c r="D18" s="60"/>
      <c r="E18" s="60"/>
      <c r="F18" s="61"/>
      <c r="G18" s="63">
        <f t="shared" si="26"/>
        <v>0</v>
      </c>
      <c r="H18" s="60"/>
      <c r="I18" s="61"/>
      <c r="J18" s="63">
        <f t="shared" si="27"/>
        <v>0</v>
      </c>
      <c r="K18" s="60"/>
      <c r="L18" s="60"/>
      <c r="M18" s="61"/>
      <c r="N18" s="129"/>
      <c r="O18" s="130">
        <f>ROUND(J18*20%,0)</f>
        <v>0</v>
      </c>
      <c r="P18" s="114"/>
      <c r="Q18" s="144" t="s">
        <v>74</v>
      </c>
      <c r="R18" s="60"/>
      <c r="S18" s="61"/>
      <c r="T18" s="103"/>
      <c r="U18" s="103"/>
      <c r="V18" s="104"/>
      <c r="W18" s="104"/>
      <c r="X18" s="104"/>
      <c r="Y18" s="104"/>
      <c r="Z18" s="103"/>
      <c r="AA18" s="103">
        <f>INPUT!E5</f>
        <v>3000</v>
      </c>
      <c r="AB18" s="103"/>
      <c r="AD18" s="145" t="s">
        <v>238</v>
      </c>
      <c r="AE18" s="65"/>
      <c r="AF18" s="65"/>
      <c r="AG18" s="70"/>
      <c r="AH18" s="76"/>
      <c r="AI18" s="83"/>
      <c r="AJ18" s="83"/>
      <c r="AK18" s="83"/>
      <c r="AL18" s="83"/>
      <c r="AQ18" s="83"/>
      <c r="AR18" s="83"/>
      <c r="AS18" s="83"/>
      <c r="AT18" s="83"/>
      <c r="AU18" s="83"/>
      <c r="AV18" s="83"/>
    </row>
    <row r="19" ht="15.0" customHeight="1">
      <c r="A19" s="127" t="s">
        <v>239</v>
      </c>
      <c r="B19" s="60"/>
      <c r="C19" s="60"/>
      <c r="D19" s="60"/>
      <c r="E19" s="60"/>
      <c r="F19" s="61"/>
      <c r="G19" s="63">
        <f t="shared" si="26"/>
        <v>0</v>
      </c>
      <c r="H19" s="60"/>
      <c r="I19" s="61"/>
      <c r="J19" s="63">
        <f t="shared" si="27"/>
        <v>0</v>
      </c>
      <c r="K19" s="60"/>
      <c r="L19" s="60"/>
      <c r="M19" s="61"/>
      <c r="N19" s="129"/>
      <c r="O19" s="130">
        <f>ROUND(J19*25%,0)</f>
        <v>0</v>
      </c>
      <c r="P19" s="114"/>
      <c r="Q19" s="144" t="s">
        <v>240</v>
      </c>
      <c r="R19" s="60"/>
      <c r="S19" s="61"/>
      <c r="T19" s="103"/>
      <c r="U19" s="103">
        <f>AG21</f>
        <v>3168</v>
      </c>
      <c r="V19" s="104"/>
      <c r="W19" s="104"/>
      <c r="X19" s="104"/>
      <c r="Y19" s="104"/>
      <c r="Z19" s="103"/>
      <c r="AA19" s="103">
        <f t="shared" ref="AA19:AA22" si="30">SUM(T19:Y19)</f>
        <v>3168</v>
      </c>
      <c r="AB19" s="103"/>
      <c r="AD19" s="146">
        <f t="shared" ref="AD19:AD20" si="31">ROUND(T5*55%,0)</f>
        <v>21780</v>
      </c>
      <c r="AE19" s="147">
        <f t="shared" ref="AE19:AE20" si="32">ROUND(T5*53%,0)</f>
        <v>20988</v>
      </c>
      <c r="AF19" s="147">
        <f t="shared" ref="AF19:AF20" si="33">AD19-AE19</f>
        <v>792</v>
      </c>
      <c r="AG19" s="148">
        <f>AF19*3</f>
        <v>2376</v>
      </c>
      <c r="AH19" s="149"/>
      <c r="AI19" s="83"/>
      <c r="AJ19" s="83"/>
      <c r="AK19" s="83"/>
      <c r="AL19" s="83"/>
      <c r="AQ19" s="83"/>
      <c r="AR19" s="83"/>
      <c r="AS19" s="83"/>
      <c r="AT19" s="83"/>
      <c r="AU19" s="83"/>
      <c r="AV19" s="83"/>
    </row>
    <row r="20" ht="15.0" customHeight="1">
      <c r="A20" s="127" t="s">
        <v>246</v>
      </c>
      <c r="B20" s="60"/>
      <c r="C20" s="60"/>
      <c r="D20" s="60"/>
      <c r="E20" s="60"/>
      <c r="F20" s="61"/>
      <c r="G20" s="63">
        <f t="shared" si="26"/>
        <v>0</v>
      </c>
      <c r="H20" s="60"/>
      <c r="I20" s="61"/>
      <c r="J20" s="63">
        <f t="shared" si="27"/>
        <v>0</v>
      </c>
      <c r="K20" s="60"/>
      <c r="L20" s="60"/>
      <c r="M20" s="61"/>
      <c r="N20" s="129"/>
      <c r="O20" s="130">
        <f>ROUND(J20*30%,0)</f>
        <v>0</v>
      </c>
      <c r="P20" s="114"/>
      <c r="Q20" s="144" t="s">
        <v>247</v>
      </c>
      <c r="R20" s="60"/>
      <c r="S20" s="61"/>
      <c r="T20" s="103"/>
      <c r="U20" s="103">
        <f>IF(INPUT!E6=10,'1 PAGE'!AI26,'1 PAGE'!AG26)</f>
        <v>4896</v>
      </c>
      <c r="V20" s="104"/>
      <c r="W20" s="104"/>
      <c r="X20" s="104"/>
      <c r="Y20" s="104"/>
      <c r="Z20" s="103"/>
      <c r="AA20" s="103">
        <f t="shared" si="30"/>
        <v>4896</v>
      </c>
      <c r="AB20" s="103"/>
      <c r="AD20" s="146">
        <f t="shared" si="31"/>
        <v>21780</v>
      </c>
      <c r="AE20" s="147">
        <f t="shared" si="32"/>
        <v>20988</v>
      </c>
      <c r="AF20" s="147">
        <f t="shared" si="33"/>
        <v>792</v>
      </c>
      <c r="AG20" s="148">
        <f>AF20*1</f>
        <v>792</v>
      </c>
      <c r="AH20" s="83"/>
      <c r="AI20" s="83"/>
      <c r="AJ20" s="83"/>
      <c r="AK20" s="83"/>
      <c r="AL20" s="83"/>
      <c r="AQ20" s="83"/>
      <c r="AR20" s="83"/>
      <c r="AS20" s="83"/>
      <c r="AT20" s="83"/>
      <c r="AU20" s="83"/>
      <c r="AV20" s="83"/>
    </row>
    <row r="21" ht="15.0" customHeight="1">
      <c r="A21" s="150"/>
      <c r="B21" s="151"/>
      <c r="C21" s="151"/>
      <c r="D21" s="151"/>
      <c r="E21" s="151"/>
      <c r="F21" s="151"/>
      <c r="G21" s="151"/>
      <c r="H21" s="151"/>
      <c r="I21" s="152"/>
      <c r="J21" s="153" t="s">
        <v>248</v>
      </c>
      <c r="K21" s="60"/>
      <c r="L21" s="60"/>
      <c r="M21" s="61"/>
      <c r="N21" s="125"/>
      <c r="O21" s="154">
        <f>O15+O16+O17+O18+O19+O20</f>
        <v>16855</v>
      </c>
      <c r="P21" s="114"/>
      <c r="Q21" s="144" t="s">
        <v>249</v>
      </c>
      <c r="R21" s="60"/>
      <c r="S21" s="61"/>
      <c r="T21" s="104">
        <f>IF(INPUT!E6=10,AH29,IF(INPUT!E6=11,AH32,IF(INPUT!E6=12,AH32,IF(INPUT!E6=1,AH35,0))))</f>
        <v>0</v>
      </c>
      <c r="U21" s="104">
        <f>IF(INPUT!E6=10,AI29,IF(INPUT!E6=11,AI32,IF(INPUT!E6=12,AI32,IF(INPUT!E6=1,AI35,0))))</f>
        <v>0</v>
      </c>
      <c r="V21" s="104" t="str">
        <f>INPUT!B14</f>
        <v/>
      </c>
      <c r="W21" s="104">
        <f>IF(INPUT!E6=10,AK29,IF(INPUT!E6=11,AK32,IF(INPUT!E6=12,AK32,IF(INPUT!E6=1,AK35,0))))</f>
        <v>0</v>
      </c>
      <c r="X21" s="104">
        <f>IF(INPUT!E6=10,AL29,IF(INPUT!E6=11,AL32,IF(INPUT!E6=12,AL32,IF(INPUT!E6=1,AL35,0))))</f>
        <v>0</v>
      </c>
      <c r="Y21" s="104">
        <v>0.0</v>
      </c>
      <c r="Z21" s="103"/>
      <c r="AA21" s="103">
        <f t="shared" si="30"/>
        <v>0</v>
      </c>
      <c r="AB21" s="103"/>
      <c r="AC21" s="37">
        <f>O21-O23</f>
        <v>16855</v>
      </c>
      <c r="AD21" s="155"/>
      <c r="AE21" s="156"/>
      <c r="AF21" s="156"/>
      <c r="AG21" s="158">
        <f>AG19+AG20</f>
        <v>3168</v>
      </c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</row>
    <row r="22" ht="19.5" customHeight="1">
      <c r="A22" s="159">
        <v>7.0</v>
      </c>
      <c r="B22" s="160" t="s">
        <v>138</v>
      </c>
      <c r="C22" s="160" t="s">
        <v>256</v>
      </c>
      <c r="D22" s="160"/>
      <c r="E22" s="160"/>
      <c r="F22" s="160"/>
      <c r="G22" s="160"/>
      <c r="H22" s="67"/>
      <c r="I22" s="67"/>
      <c r="J22" s="161"/>
      <c r="K22" s="67"/>
      <c r="L22" s="67"/>
      <c r="M22" s="162"/>
      <c r="N22" s="163"/>
      <c r="O22" s="164">
        <f>IF(AC21&gt;0,AC21,0)</f>
        <v>16855</v>
      </c>
      <c r="P22" s="114"/>
      <c r="Q22" s="165" t="s">
        <v>257</v>
      </c>
      <c r="R22" s="60"/>
      <c r="S22" s="61"/>
      <c r="T22" s="166">
        <f>INPUT!G13</f>
        <v>0</v>
      </c>
      <c r="U22" s="166"/>
      <c r="V22" s="166"/>
      <c r="W22" s="166"/>
      <c r="X22" s="166"/>
      <c r="Y22" s="166"/>
      <c r="Z22" s="103"/>
      <c r="AA22" s="103">
        <f t="shared" si="30"/>
        <v>0</v>
      </c>
      <c r="AB22" s="103"/>
    </row>
    <row r="23" ht="23.25" customHeight="1">
      <c r="A23" s="167"/>
      <c r="B23" s="160"/>
      <c r="C23" s="168" t="s">
        <v>260</v>
      </c>
      <c r="J23" s="160"/>
      <c r="K23" s="169"/>
      <c r="L23" s="162"/>
      <c r="M23" s="162"/>
      <c r="N23" s="170" t="s">
        <v>143</v>
      </c>
      <c r="O23" s="171">
        <f>IF(AF31&gt;0,AF31,0)</f>
        <v>0</v>
      </c>
      <c r="P23" s="114"/>
      <c r="Q23" s="172"/>
      <c r="R23" s="60"/>
      <c r="S23" s="61"/>
      <c r="T23" s="103"/>
      <c r="U23" s="103"/>
      <c r="V23" s="104"/>
      <c r="W23" s="104"/>
      <c r="X23" s="104"/>
      <c r="Y23" s="104"/>
      <c r="Z23" s="103"/>
      <c r="AA23" s="103"/>
      <c r="AB23" s="103"/>
      <c r="AD23" s="145" t="s">
        <v>263</v>
      </c>
      <c r="AE23" s="65"/>
      <c r="AF23" s="65"/>
      <c r="AG23" s="70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</row>
    <row r="24" ht="18.0" customHeight="1">
      <c r="A24" s="159">
        <v>8.0</v>
      </c>
      <c r="B24" s="160" t="s">
        <v>138</v>
      </c>
      <c r="C24" s="159" t="s">
        <v>265</v>
      </c>
      <c r="H24" s="173">
        <f>IF(O23&gt;0,O23,O21)</f>
        <v>16855</v>
      </c>
      <c r="I24" s="32"/>
      <c r="J24" s="174" t="s">
        <v>266</v>
      </c>
      <c r="K24" s="175">
        <v>0.04</v>
      </c>
      <c r="L24" s="160"/>
      <c r="M24" s="160"/>
      <c r="N24" s="170" t="s">
        <v>143</v>
      </c>
      <c r="O24" s="173">
        <f>AE36</f>
        <v>0</v>
      </c>
      <c r="P24" s="114"/>
      <c r="Q24" s="176" t="s">
        <v>234</v>
      </c>
      <c r="R24" s="65"/>
      <c r="S24" s="70"/>
      <c r="T24" s="177">
        <f t="shared" ref="T24:W24" si="34">SUM(T17:T23)</f>
        <v>479535</v>
      </c>
      <c r="U24" s="177">
        <f t="shared" si="34"/>
        <v>274963</v>
      </c>
      <c r="V24" s="68">
        <f t="shared" si="34"/>
        <v>23742</v>
      </c>
      <c r="W24" s="177">
        <f t="shared" si="34"/>
        <v>27303</v>
      </c>
      <c r="X24" s="177"/>
      <c r="Y24" s="68">
        <f t="shared" ref="Y24:AB24" si="35">SUM(Y17:Y23)</f>
        <v>3561</v>
      </c>
      <c r="Z24" s="68">
        <f t="shared" si="35"/>
        <v>29677</v>
      </c>
      <c r="AA24" s="68">
        <f t="shared" si="35"/>
        <v>841781</v>
      </c>
      <c r="AB24" s="68">
        <f t="shared" si="35"/>
        <v>0</v>
      </c>
      <c r="AC24" s="83"/>
      <c r="AD24" s="178">
        <f>ROUND(T9*58%,0)</f>
        <v>23664</v>
      </c>
      <c r="AE24" s="179">
        <f>ROUND(T9*55%,0)</f>
        <v>22440</v>
      </c>
      <c r="AF24" s="179">
        <f t="shared" ref="AF24:AF25" si="36">AD24-AE24</f>
        <v>1224</v>
      </c>
      <c r="AG24" s="180">
        <f>AF24*3</f>
        <v>3672</v>
      </c>
      <c r="AH24" s="149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</row>
    <row r="25" ht="18.0" customHeight="1">
      <c r="A25" s="159">
        <v>9.0</v>
      </c>
      <c r="B25" s="160" t="s">
        <v>138</v>
      </c>
      <c r="C25" s="160" t="s">
        <v>271</v>
      </c>
      <c r="D25" s="160"/>
      <c r="E25" s="160"/>
      <c r="F25" s="67"/>
      <c r="G25" s="181">
        <f>IF(O21&gt;70500,O21,O23)</f>
        <v>0</v>
      </c>
      <c r="H25" s="182" t="s">
        <v>272</v>
      </c>
      <c r="I25" s="174">
        <f>O24</f>
        <v>0</v>
      </c>
      <c r="J25" s="32"/>
      <c r="K25" s="32"/>
      <c r="L25" s="160"/>
      <c r="M25" s="160"/>
      <c r="N25" s="163" t="s">
        <v>143</v>
      </c>
      <c r="O25" s="129">
        <f>G25+I25</f>
        <v>0</v>
      </c>
      <c r="P25" s="114"/>
      <c r="Q25" s="90"/>
      <c r="R25" s="32"/>
      <c r="S25" s="91"/>
      <c r="T25" s="27"/>
      <c r="U25" s="27"/>
      <c r="V25" s="27"/>
      <c r="W25" s="27"/>
      <c r="X25" s="27"/>
      <c r="Y25" s="27"/>
      <c r="Z25" s="27"/>
      <c r="AA25" s="27"/>
      <c r="AB25" s="27"/>
      <c r="AC25" s="83"/>
      <c r="AD25" s="178">
        <f>ROUND(T12*58%,0)</f>
        <v>23664</v>
      </c>
      <c r="AE25" s="179">
        <f>ROUND(T12*55%,0)</f>
        <v>22440</v>
      </c>
      <c r="AF25" s="179">
        <f t="shared" si="36"/>
        <v>1224</v>
      </c>
      <c r="AG25" s="180">
        <f>AF25*1</f>
        <v>1224</v>
      </c>
      <c r="AH25" s="183" t="s">
        <v>273</v>
      </c>
      <c r="AI25" s="70"/>
      <c r="AJ25" s="83"/>
      <c r="AK25" s="83"/>
      <c r="AL25" s="83"/>
      <c r="AM25" s="83"/>
      <c r="AN25" s="83"/>
      <c r="AO25" s="83"/>
      <c r="AP25" s="83"/>
      <c r="AQ25" s="83"/>
      <c r="AR25" s="184"/>
      <c r="AS25" s="184"/>
      <c r="AT25" s="184"/>
      <c r="AU25" s="184"/>
      <c r="AV25" s="184"/>
    </row>
    <row r="26" ht="18.0" customHeight="1">
      <c r="A26" s="159">
        <v>10.0</v>
      </c>
      <c r="B26" s="160" t="s">
        <v>138</v>
      </c>
      <c r="C26" s="160" t="s">
        <v>274</v>
      </c>
      <c r="D26" s="160"/>
      <c r="E26" s="160"/>
      <c r="F26" s="160"/>
      <c r="G26" s="159" t="str">
        <f>"(Mar -"&amp;INPUT!B12&amp;" -  Jan-"&amp;INPUT!B13&amp;"   IT Advance Ded.)"</f>
        <v>(Mar -2025 -  Jan-2026   IT Advance Ded.)</v>
      </c>
      <c r="N26" s="163" t="s">
        <v>143</v>
      </c>
      <c r="O26" s="129">
        <f>AB24</f>
        <v>0</v>
      </c>
      <c r="P26" s="114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D26" s="186"/>
      <c r="AE26" s="187"/>
      <c r="AF26" s="187"/>
      <c r="AG26" s="188">
        <f>AG24+AG25</f>
        <v>4896</v>
      </c>
      <c r="AH26" s="189">
        <f>ROUND(AG25/2,0)</f>
        <v>612</v>
      </c>
      <c r="AI26" s="190">
        <f>AG26+AH26</f>
        <v>5508</v>
      </c>
      <c r="AM26" s="83"/>
      <c r="AN26" s="83"/>
      <c r="AO26" s="83"/>
      <c r="AP26" s="83"/>
      <c r="AQ26" s="83"/>
      <c r="AR26" s="184"/>
      <c r="AS26" s="184"/>
      <c r="AT26" s="184"/>
      <c r="AU26" s="184">
        <f>ROUND(AU16/2,0)</f>
        <v>200</v>
      </c>
      <c r="AV26" s="184"/>
      <c r="AW26" s="83"/>
    </row>
    <row r="27" ht="18.0" customHeight="1">
      <c r="A27" s="159">
        <v>11.0</v>
      </c>
      <c r="B27" s="160" t="s">
        <v>138</v>
      </c>
      <c r="C27" s="160" t="str">
        <f>"Balance to be Paid  [9-10] in Feb-"&amp;INPUT!B13&amp;" Bill  (TDS) """</f>
        <v>Balance to be Paid  [9-10] in Feb-2026 Bill  (TDS) "</v>
      </c>
      <c r="D27" s="160"/>
      <c r="E27" s="160"/>
      <c r="F27" s="160"/>
      <c r="G27" s="160"/>
      <c r="H27" s="160"/>
      <c r="I27" s="160"/>
      <c r="J27" s="160"/>
      <c r="K27" s="159" t="str">
        <f>AE40</f>
        <v>0 + 0</v>
      </c>
      <c r="N27" s="163" t="s">
        <v>143</v>
      </c>
      <c r="O27" s="129">
        <f>IF(AM29&gt;0,AM29,0)</f>
        <v>0</v>
      </c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H27" s="191" t="s">
        <v>249</v>
      </c>
      <c r="AM27" s="83"/>
      <c r="AN27" s="83"/>
      <c r="AO27" s="83"/>
      <c r="AP27" s="83"/>
      <c r="AQ27" s="83"/>
      <c r="AR27" s="184"/>
      <c r="AS27" s="184"/>
      <c r="AT27" s="184"/>
      <c r="AU27" s="184">
        <f>IF(INPUT!E10=1,AU26,0)</f>
        <v>0</v>
      </c>
      <c r="AV27" s="184"/>
      <c r="AW27" s="83"/>
    </row>
    <row r="28" ht="18.0" customHeight="1">
      <c r="A28" s="159">
        <v>12.0</v>
      </c>
      <c r="B28" s="160" t="s">
        <v>138</v>
      </c>
      <c r="C28" s="160" t="s">
        <v>280</v>
      </c>
      <c r="D28" s="160"/>
      <c r="E28" s="160"/>
      <c r="F28" s="160"/>
      <c r="G28" s="160"/>
      <c r="H28" s="160"/>
      <c r="I28" s="160"/>
      <c r="J28" s="160"/>
      <c r="K28" s="159"/>
      <c r="N28" s="163" t="s">
        <v>143</v>
      </c>
      <c r="O28" s="129">
        <f>-(AM30)</f>
        <v>0</v>
      </c>
      <c r="P28" s="114"/>
      <c r="Q28" s="192" t="s">
        <v>283</v>
      </c>
      <c r="AD28" s="193" t="s">
        <v>286</v>
      </c>
      <c r="AE28" s="65"/>
      <c r="AF28" s="70"/>
      <c r="AG28" s="83"/>
      <c r="AH28" s="194">
        <f t="shared" ref="AH28:AL28" si="37">T12</f>
        <v>40800</v>
      </c>
      <c r="AI28" s="194">
        <f t="shared" si="37"/>
        <v>22440</v>
      </c>
      <c r="AJ28" s="194">
        <f t="shared" si="37"/>
        <v>2000</v>
      </c>
      <c r="AK28" s="194">
        <f t="shared" si="37"/>
        <v>2300</v>
      </c>
      <c r="AL28" s="194">
        <f t="shared" si="37"/>
        <v>0</v>
      </c>
      <c r="AM28" s="83"/>
      <c r="AN28" s="83"/>
      <c r="AO28" s="83"/>
      <c r="AP28" s="83"/>
      <c r="AQ28" s="83"/>
      <c r="AR28" s="184"/>
      <c r="AS28" s="184"/>
      <c r="AT28" s="184"/>
      <c r="AU28" s="184"/>
      <c r="AV28" s="184"/>
      <c r="AW28" s="83"/>
    </row>
    <row r="29">
      <c r="P29" s="114"/>
      <c r="AD29" s="195">
        <f>O13-1200000</f>
        <v>-462896</v>
      </c>
      <c r="AE29" s="196">
        <f>O21</f>
        <v>16855</v>
      </c>
      <c r="AF29" s="197">
        <f>IF(AD29&lt;=70500,AD29,AE29)</f>
        <v>-462896</v>
      </c>
      <c r="AH29" s="198">
        <f t="shared" ref="AH29:AL29" si="38">ROUND(AH28/2,0)</f>
        <v>20400</v>
      </c>
      <c r="AI29" s="198">
        <f t="shared" si="38"/>
        <v>11220</v>
      </c>
      <c r="AJ29" s="198">
        <f t="shared" si="38"/>
        <v>1000</v>
      </c>
      <c r="AK29" s="198">
        <f t="shared" si="38"/>
        <v>1150</v>
      </c>
      <c r="AL29" s="198">
        <f t="shared" si="38"/>
        <v>0</v>
      </c>
      <c r="AM29" s="198">
        <f>O25-O26</f>
        <v>0</v>
      </c>
      <c r="AN29" s="83"/>
      <c r="AO29" s="83"/>
      <c r="AP29" s="83"/>
      <c r="AQ29" s="83"/>
      <c r="AR29" s="184"/>
      <c r="AS29" s="184"/>
      <c r="AT29" s="184"/>
      <c r="AU29" s="184"/>
      <c r="AV29" s="184"/>
      <c r="AW29" s="83"/>
    </row>
    <row r="30" ht="14.25" hidden="1" customHeight="1">
      <c r="P30" s="114"/>
      <c r="T30" s="199">
        <f>IF(INPUT!G14=2,BJ16,T45)</f>
        <v>40800</v>
      </c>
      <c r="U30" s="199">
        <f>AE14</f>
        <v>23664</v>
      </c>
      <c r="V30" s="185">
        <f>V14</f>
        <v>2000</v>
      </c>
      <c r="W30" s="185">
        <f>IF(INPUT!E7=1,AF16,IF(INPUT!E7=2,AI16,IF(INPUT!E7=3,AL16,IF(INPUT!E7=4,AO16,IF(INPUT!E7=5,AR5,0)))))</f>
        <v>2300</v>
      </c>
      <c r="X30" s="185">
        <f>IF(INPUT!E10=1,AU15,IF(INPUT!E10=2,AX5,0))</f>
        <v>0</v>
      </c>
      <c r="Y30" s="185">
        <f t="shared" ref="Y30:Z30" si="39">Y14</f>
        <v>300</v>
      </c>
      <c r="Z30" s="199">
        <f t="shared" si="39"/>
        <v>2500</v>
      </c>
      <c r="AA30" s="199">
        <f t="shared" ref="AA30:AA34" si="40">SUM(T30:Z30)</f>
        <v>71564</v>
      </c>
      <c r="AB30" s="199"/>
      <c r="AD30" s="200"/>
      <c r="AE30" s="196"/>
      <c r="AF30" s="201">
        <f>IF(AF29&lt;=70500,0,O21)</f>
        <v>0</v>
      </c>
      <c r="AG30" s="202"/>
      <c r="AM30" s="83">
        <f>IF(AM29&lt;0,AM29,0)</f>
        <v>0</v>
      </c>
      <c r="AN30" s="83"/>
      <c r="AO30" s="83"/>
      <c r="AP30" s="83"/>
      <c r="AQ30" s="83"/>
      <c r="AR30" s="83"/>
      <c r="AS30" s="83"/>
      <c r="AT30" s="83"/>
      <c r="AU30" s="83"/>
      <c r="AV30" s="83"/>
      <c r="AW30" s="83"/>
    </row>
    <row r="31" hidden="1">
      <c r="P31" s="114"/>
      <c r="T31" s="203">
        <f>IF(INPUT!$G$15=27,ROUND('1 PAGE'!T30/28,0),T30)</f>
        <v>40800</v>
      </c>
      <c r="U31" s="203">
        <f>IF(INPUT!$G$15=27,ROUND('1 PAGE'!U30/28,0),U30)</f>
        <v>23664</v>
      </c>
      <c r="V31" s="203">
        <f>IF(INPUT!$G$15=27,ROUND('1 PAGE'!V30/28,0),V30)</f>
        <v>2000</v>
      </c>
      <c r="W31" s="203">
        <f>IF(INPUT!$G$15=27,ROUND('1 PAGE'!W30/28,0),W30)</f>
        <v>2300</v>
      </c>
      <c r="X31" s="203">
        <f>IF(INPUT!$G$15=27,ROUND('1 PAGE'!X30/28,0),X30)</f>
        <v>0</v>
      </c>
      <c r="Y31" s="203">
        <f>IF(INPUT!$G$15=27,ROUND('1 PAGE'!Y30/28,0),Y30)</f>
        <v>300</v>
      </c>
      <c r="Z31" s="203">
        <f>IF(INPUT!$G$15=27,ROUND('1 PAGE'!Z30/28,0),Z30)</f>
        <v>2500</v>
      </c>
      <c r="AA31" s="199">
        <f t="shared" si="40"/>
        <v>71564</v>
      </c>
      <c r="AB31" s="203"/>
      <c r="AD31" s="204"/>
      <c r="AE31" s="205"/>
      <c r="AF31" s="206">
        <f>IF(AF29&gt;70500,0,AF29)</f>
        <v>-462896</v>
      </c>
      <c r="AH31" s="194">
        <f t="shared" ref="AH31:AL31" si="41">T13</f>
        <v>40800</v>
      </c>
      <c r="AI31" s="194">
        <f t="shared" si="41"/>
        <v>23664</v>
      </c>
      <c r="AJ31" s="194">
        <f t="shared" si="41"/>
        <v>2000</v>
      </c>
      <c r="AK31" s="194">
        <f t="shared" si="41"/>
        <v>2300</v>
      </c>
      <c r="AL31" s="194">
        <f t="shared" si="41"/>
        <v>0</v>
      </c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</row>
    <row r="32" hidden="1">
      <c r="T32" s="203">
        <f t="shared" ref="T32:Z32" si="42">T30-T31</f>
        <v>0</v>
      </c>
      <c r="U32" s="203">
        <f t="shared" si="42"/>
        <v>0</v>
      </c>
      <c r="V32" s="203">
        <f t="shared" si="42"/>
        <v>0</v>
      </c>
      <c r="W32" s="203">
        <f t="shared" si="42"/>
        <v>0</v>
      </c>
      <c r="X32" s="203">
        <f t="shared" si="42"/>
        <v>0</v>
      </c>
      <c r="Y32" s="203">
        <f t="shared" si="42"/>
        <v>0</v>
      </c>
      <c r="Z32" s="203">
        <f t="shared" si="42"/>
        <v>0</v>
      </c>
      <c r="AA32" s="199">
        <f t="shared" si="40"/>
        <v>0</v>
      </c>
      <c r="AB32" s="203"/>
      <c r="AH32" s="198">
        <f t="shared" ref="AH32:AL32" si="43">ROUND(AH31/2,0)</f>
        <v>20400</v>
      </c>
      <c r="AI32" s="198">
        <f t="shared" si="43"/>
        <v>11832</v>
      </c>
      <c r="AJ32" s="198">
        <f t="shared" si="43"/>
        <v>1000</v>
      </c>
      <c r="AK32" s="198">
        <f t="shared" si="43"/>
        <v>1150</v>
      </c>
      <c r="AL32" s="198">
        <f t="shared" si="43"/>
        <v>0</v>
      </c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</row>
    <row r="33" hidden="1">
      <c r="T33" s="37">
        <f>IF(INPUT!$G$15=27,'1 PAGE'!T32,0)</f>
        <v>0</v>
      </c>
      <c r="U33" s="37">
        <f>IF(INPUT!$G$15=27,'1 PAGE'!U32,0)</f>
        <v>0</v>
      </c>
      <c r="V33" s="37">
        <f>IF(INPUT!$G$15=27,'1 PAGE'!V32,0)</f>
        <v>0</v>
      </c>
      <c r="W33" s="37">
        <f>IF(INPUT!$G$15=27,'1 PAGE'!W32,0)</f>
        <v>0</v>
      </c>
      <c r="X33" s="37">
        <f>IF(INPUT!$G$15=27,'1 PAGE'!X32,0)</f>
        <v>0</v>
      </c>
      <c r="Y33" s="37">
        <f>IF(INPUT!$G$15=27,'1 PAGE'!Y32,0)</f>
        <v>0</v>
      </c>
      <c r="Z33" s="37">
        <f>IF(INPUT!$G$15=27,'1 PAGE'!Z32,0)</f>
        <v>0</v>
      </c>
      <c r="AA33" s="199">
        <f t="shared" si="40"/>
        <v>0</v>
      </c>
      <c r="AD33" s="193" t="s">
        <v>300</v>
      </c>
      <c r="AE33" s="65"/>
      <c r="AF33" s="70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</row>
    <row r="34" hidden="1">
      <c r="T34" s="37">
        <f>IF(INPUT!$G$15=27,'1 PAGE'!T33,'1 PAGE'!T30)</f>
        <v>40800</v>
      </c>
      <c r="U34" s="37">
        <f>IF(INPUT!$G$15=27,'1 PAGE'!U33,'1 PAGE'!U30)</f>
        <v>23664</v>
      </c>
      <c r="V34" s="37">
        <f>IF(INPUT!$G$15=27,'1 PAGE'!V33,'1 PAGE'!V30)</f>
        <v>2000</v>
      </c>
      <c r="W34" s="37">
        <f>IF(INPUT!$G$15=27,'1 PAGE'!W33,'1 PAGE'!W30)</f>
        <v>2300</v>
      </c>
      <c r="X34" s="37">
        <f>IF(INPUT!$G$15=27,'1 PAGE'!X33,'1 PAGE'!X30)</f>
        <v>0</v>
      </c>
      <c r="Y34" s="37">
        <f>IF(INPUT!$G$15=27,'1 PAGE'!Y33,'1 PAGE'!Y30)</f>
        <v>300</v>
      </c>
      <c r="Z34" s="37">
        <f>IF(INPUT!$G$15=27,'1 PAGE'!Z33,'1 PAGE'!Z30)</f>
        <v>2500</v>
      </c>
      <c r="AA34" s="199">
        <f t="shared" si="40"/>
        <v>71564</v>
      </c>
      <c r="AD34" s="207">
        <f>IF(O21&gt;70500,O21,O23)</f>
        <v>0</v>
      </c>
      <c r="AE34" s="208"/>
      <c r="AF34" s="209"/>
      <c r="AH34" s="194">
        <f t="shared" ref="AH34:AL34" si="44">T15</f>
        <v>35535</v>
      </c>
      <c r="AI34" s="194">
        <f t="shared" si="44"/>
        <v>20611</v>
      </c>
      <c r="AJ34" s="194">
        <f t="shared" si="44"/>
        <v>1742</v>
      </c>
      <c r="AK34" s="194">
        <f t="shared" si="44"/>
        <v>2003</v>
      </c>
      <c r="AL34" s="194">
        <f t="shared" si="44"/>
        <v>0</v>
      </c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</row>
    <row r="35" hidden="1">
      <c r="AD35" s="207">
        <v>0.0</v>
      </c>
      <c r="AE35" s="210">
        <f>IF(O21&lt;=70500,AF29,O21)</f>
        <v>-462896</v>
      </c>
      <c r="AF35" s="211"/>
      <c r="AH35" s="198">
        <f t="shared" ref="AH35:AL35" si="45">ROUND(AH34/2,0)</f>
        <v>17768</v>
      </c>
      <c r="AI35" s="198">
        <f t="shared" si="45"/>
        <v>10306</v>
      </c>
      <c r="AJ35" s="198">
        <f t="shared" si="45"/>
        <v>871</v>
      </c>
      <c r="AK35" s="198">
        <f t="shared" si="45"/>
        <v>1002</v>
      </c>
      <c r="AL35" s="198">
        <f t="shared" si="45"/>
        <v>0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</row>
    <row r="36" hidden="1">
      <c r="AD36" s="212">
        <f>ROUND(AD34*K24,0)</f>
        <v>0</v>
      </c>
      <c r="AE36" s="213">
        <f>IF(AD36&gt;0,AD36,0)</f>
        <v>0</v>
      </c>
      <c r="AF36" s="214">
        <f>ROUND(O23*4%,0)</f>
        <v>0</v>
      </c>
    </row>
    <row r="37" hidden="1">
      <c r="T37" s="215" t="s">
        <v>311</v>
      </c>
      <c r="U37" s="215" t="s">
        <v>52</v>
      </c>
      <c r="V37" s="215" t="s">
        <v>87</v>
      </c>
      <c r="W37" s="215" t="s">
        <v>54</v>
      </c>
      <c r="X37" s="215" t="s">
        <v>77</v>
      </c>
      <c r="Y37" s="215" t="s">
        <v>90</v>
      </c>
      <c r="Z37" s="215" t="s">
        <v>312</v>
      </c>
      <c r="AA37" s="215" t="s">
        <v>234</v>
      </c>
    </row>
    <row r="38" hidden="1">
      <c r="T38" s="15">
        <f>IF(INPUT!G14=11,BJ13,T12)</f>
        <v>40800</v>
      </c>
      <c r="U38" s="15">
        <f>AE13</f>
        <v>23664</v>
      </c>
      <c r="V38" s="15">
        <f>V12</f>
        <v>2000</v>
      </c>
      <c r="W38" s="15">
        <f>IF(INPUT!E7=1,AF13,IF(INPUT!E7=2,AI13,IF(INPUT!E7=3,AL13,IF(INPUT!E7=4,AO13,IF(INPUT!E7=5,AR5,0)))))</f>
        <v>2300</v>
      </c>
      <c r="X38" s="15">
        <f>IF(INPUT!E10=1,AU13,IF(INPUT!E10=2,AX5,0))</f>
        <v>0</v>
      </c>
      <c r="Y38" s="15">
        <f t="shared" ref="Y38:Z38" si="46">Y12</f>
        <v>300</v>
      </c>
      <c r="Z38" s="15">
        <f t="shared" si="46"/>
        <v>2500</v>
      </c>
      <c r="AA38" s="15">
        <f>SUM(T38:Z38)</f>
        <v>71564</v>
      </c>
      <c r="AD38" s="216" t="s">
        <v>316</v>
      </c>
      <c r="AE38" s="217"/>
      <c r="AF38" s="218"/>
    </row>
    <row r="39" hidden="1">
      <c r="T39" s="15">
        <f t="shared" ref="T39:AA39" si="47">T38/31</f>
        <v>1316.129032</v>
      </c>
      <c r="U39" s="15">
        <f t="shared" si="47"/>
        <v>763.3548387</v>
      </c>
      <c r="V39" s="15">
        <f t="shared" si="47"/>
        <v>64.51612903</v>
      </c>
      <c r="W39" s="15">
        <f t="shared" si="47"/>
        <v>74.19354839</v>
      </c>
      <c r="X39" s="15">
        <f t="shared" si="47"/>
        <v>0</v>
      </c>
      <c r="Y39" s="15">
        <f t="shared" si="47"/>
        <v>9.677419355</v>
      </c>
      <c r="Z39" s="15">
        <f t="shared" si="47"/>
        <v>80.64516129</v>
      </c>
      <c r="AA39" s="15">
        <f t="shared" si="47"/>
        <v>2308.516129</v>
      </c>
      <c r="AD39" s="219">
        <f>O25-O26</f>
        <v>0</v>
      </c>
      <c r="AE39" s="220">
        <f>ROUND(AD39/104*100,0)</f>
        <v>0</v>
      </c>
      <c r="AF39" s="221">
        <f>AD39-AE39</f>
        <v>0</v>
      </c>
    </row>
    <row r="40" hidden="1">
      <c r="T40" s="15">
        <f>ROUND(T39*INPUT!G15,0)</f>
        <v>5265</v>
      </c>
      <c r="U40" s="15">
        <f>ROUND(U39*INPUT!G15,0)</f>
        <v>3053</v>
      </c>
      <c r="V40" s="15">
        <f>ROUND(V39*INPUT!G15,0)</f>
        <v>258</v>
      </c>
      <c r="W40" s="15">
        <f>ROUND(W39*INPUT!G15,0)</f>
        <v>297</v>
      </c>
      <c r="X40" s="15">
        <f>ROUND(X39*INPUT!G15,0)</f>
        <v>0</v>
      </c>
      <c r="Y40" s="15">
        <f>ROUND(Y39*INPUT!G15,0)</f>
        <v>39</v>
      </c>
      <c r="Z40" s="15">
        <f>ROUND(Z39*INPUT!G15,0)</f>
        <v>323</v>
      </c>
      <c r="AA40" s="15">
        <f>ROUND(AA39*INPUT!G15,0)</f>
        <v>9234</v>
      </c>
      <c r="AD40" s="222"/>
      <c r="AE40" s="223" t="str">
        <f>""&amp;AE39&amp;" + "&amp;AF39&amp;""</f>
        <v>0 + 0</v>
      </c>
      <c r="AF40" s="224"/>
    </row>
    <row r="41" hidden="1">
      <c r="T41" s="15">
        <f t="shared" ref="T41:AB41" si="48">T38-T40</f>
        <v>35535</v>
      </c>
      <c r="U41" s="15">
        <f t="shared" si="48"/>
        <v>20611</v>
      </c>
      <c r="V41" s="15">
        <f t="shared" si="48"/>
        <v>1742</v>
      </c>
      <c r="W41" s="15">
        <f t="shared" si="48"/>
        <v>2003</v>
      </c>
      <c r="X41" s="15">
        <f t="shared" si="48"/>
        <v>0</v>
      </c>
      <c r="Y41" s="15">
        <f t="shared" si="48"/>
        <v>261</v>
      </c>
      <c r="Z41" s="15">
        <f t="shared" si="48"/>
        <v>2177</v>
      </c>
      <c r="AA41" s="15">
        <f t="shared" si="48"/>
        <v>62330</v>
      </c>
      <c r="AB41" s="15">
        <f t="shared" si="48"/>
        <v>0</v>
      </c>
    </row>
    <row r="42" hidden="1">
      <c r="T42" s="15">
        <f t="shared" ref="T42:AA42" si="49">T38-(T39+T41)</f>
        <v>3948.870968</v>
      </c>
      <c r="U42" s="15">
        <f t="shared" si="49"/>
        <v>2289.645161</v>
      </c>
      <c r="V42" s="15">
        <f t="shared" si="49"/>
        <v>193.483871</v>
      </c>
      <c r="W42" s="15">
        <f t="shared" si="49"/>
        <v>222.8064516</v>
      </c>
      <c r="X42" s="15">
        <f t="shared" si="49"/>
        <v>0</v>
      </c>
      <c r="Y42" s="15">
        <f t="shared" si="49"/>
        <v>29.32258065</v>
      </c>
      <c r="Z42" s="15">
        <f t="shared" si="49"/>
        <v>242.3548387</v>
      </c>
      <c r="AA42" s="15">
        <f t="shared" si="49"/>
        <v>6925.483871</v>
      </c>
    </row>
    <row r="43" hidden="1">
      <c r="T43" s="15">
        <f>IF(INPUT!$E$15=11,T41,T38)</f>
        <v>40800</v>
      </c>
      <c r="U43" s="15">
        <f>IF(INPUT!$E$15=11,U41,U38)</f>
        <v>23664</v>
      </c>
      <c r="V43" s="15">
        <f>IF(INPUT!$E$15=11,V41,V38)</f>
        <v>2000</v>
      </c>
      <c r="W43" s="15">
        <f>IF(INPUT!$E$15=11,W41,W38)</f>
        <v>2300</v>
      </c>
      <c r="X43" s="15">
        <f>IF(INPUT!$E$15=11,X41,X38)</f>
        <v>0</v>
      </c>
      <c r="Y43" s="15">
        <f>IF(INPUT!$E$15=11,Y41,Y38)</f>
        <v>300</v>
      </c>
      <c r="Z43" s="15">
        <f>IF(INPUT!$E$15=11,Z41,Z38)</f>
        <v>2500</v>
      </c>
      <c r="AA43" s="15">
        <f>IF(INPUT!$E$15=11,AA41,AA38)</f>
        <v>71564</v>
      </c>
    </row>
    <row r="44" hidden="1"/>
    <row r="45" hidden="1">
      <c r="T45" s="15">
        <f>IF(AND(INPUT!E3=1,INPUT!G14=1),BL15,IF(INPUT!E3=1,AD15,IF(INPUT!G14=1,BJ15,T14)))</f>
        <v>40800</v>
      </c>
      <c r="U45" s="15">
        <f>AE15</f>
        <v>23664</v>
      </c>
      <c r="V45" s="15">
        <f>V14</f>
        <v>2000</v>
      </c>
      <c r="W45" s="15">
        <f>IF(INPUT!E7=1,AF15,IF(INPUT!E7=2,AI15,IF(INPUT!E7=3,AL15,IF(INPUT!E7=4,AO15,IF(INPUT!E7=5,AR5,0)))))</f>
        <v>2300</v>
      </c>
      <c r="X45" s="15">
        <f>IF(INPUT!E10=1,AU15,IF(INPUT!E10=2,AX5,0))</f>
        <v>0</v>
      </c>
      <c r="Y45" s="15">
        <f t="shared" ref="Y45:Z45" si="50">Y14</f>
        <v>300</v>
      </c>
      <c r="Z45" s="15">
        <f t="shared" si="50"/>
        <v>2500</v>
      </c>
      <c r="AA45" s="15">
        <f t="shared" ref="AA45:AA47" si="51">SUM(T45:Z45)</f>
        <v>71564</v>
      </c>
    </row>
    <row r="46" hidden="1">
      <c r="T46" s="15">
        <f>IF(INPUT!$E$15=1,ROUND((T45/31)*INPUT!$G$15,0),0)</f>
        <v>5265</v>
      </c>
      <c r="U46" s="15">
        <f>IF(INPUT!$E$15=1,ROUND((U45/31)*INPUT!$G$15,0),0)</f>
        <v>3053</v>
      </c>
      <c r="V46" s="15">
        <f>IF(INPUT!$E$15=1,ROUND((V45/31)*INPUT!$G$15,0),0)</f>
        <v>258</v>
      </c>
      <c r="W46" s="15">
        <f>IF(INPUT!$E$15=1,ROUND((W45/31)*INPUT!$G$15,0),0)</f>
        <v>297</v>
      </c>
      <c r="X46" s="15">
        <f>IF(INPUT!$E$15=1,ROUND((X45/31)*INPUT!$G$15,0),0)</f>
        <v>0</v>
      </c>
      <c r="Y46" s="15">
        <f>IF(INPUT!$E$15=1,ROUND((Y45/31)*INPUT!$G$15,0),0)</f>
        <v>39</v>
      </c>
      <c r="Z46" s="15">
        <f>IF(INPUT!$E$15=1,ROUND((Z45/31)*INPUT!$G$15,0),0)</f>
        <v>323</v>
      </c>
      <c r="AA46" s="15">
        <f t="shared" si="51"/>
        <v>9235</v>
      </c>
    </row>
    <row r="47" hidden="1">
      <c r="T47" s="15">
        <f t="shared" ref="T47:Z47" si="52">T45-T46</f>
        <v>35535</v>
      </c>
      <c r="U47" s="15">
        <f t="shared" si="52"/>
        <v>20611</v>
      </c>
      <c r="V47" s="15">
        <f t="shared" si="52"/>
        <v>1742</v>
      </c>
      <c r="W47" s="15">
        <f t="shared" si="52"/>
        <v>2003</v>
      </c>
      <c r="X47" s="15">
        <f t="shared" si="52"/>
        <v>0</v>
      </c>
      <c r="Y47" s="15">
        <f t="shared" si="52"/>
        <v>261</v>
      </c>
      <c r="Z47" s="15">
        <f t="shared" si="52"/>
        <v>2177</v>
      </c>
      <c r="AA47" s="15">
        <f t="shared" si="51"/>
        <v>62329</v>
      </c>
    </row>
    <row r="48" hidden="1"/>
    <row r="49" hidden="1">
      <c r="T49" s="15">
        <f t="shared" ref="T49:AA49" si="53">T45-(T46+T47)</f>
        <v>0</v>
      </c>
      <c r="U49" s="15">
        <f t="shared" si="53"/>
        <v>0</v>
      </c>
      <c r="V49" s="15">
        <f t="shared" si="53"/>
        <v>0</v>
      </c>
      <c r="W49" s="15">
        <f t="shared" si="53"/>
        <v>0</v>
      </c>
      <c r="X49" s="15">
        <f t="shared" si="53"/>
        <v>0</v>
      </c>
      <c r="Y49" s="15">
        <f t="shared" si="53"/>
        <v>0</v>
      </c>
      <c r="Z49" s="15">
        <f t="shared" si="53"/>
        <v>0</v>
      </c>
      <c r="AA49" s="15">
        <f t="shared" si="53"/>
        <v>0</v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92">
    <mergeCell ref="A20:F20"/>
    <mergeCell ref="G20:I20"/>
    <mergeCell ref="J20:M20"/>
    <mergeCell ref="J21:M21"/>
    <mergeCell ref="C23:I23"/>
    <mergeCell ref="AD23:AG23"/>
    <mergeCell ref="C24:G24"/>
    <mergeCell ref="H24:I24"/>
    <mergeCell ref="A18:F18"/>
    <mergeCell ref="G18:I18"/>
    <mergeCell ref="J18:M18"/>
    <mergeCell ref="AD18:AG18"/>
    <mergeCell ref="A19:F19"/>
    <mergeCell ref="G19:I19"/>
    <mergeCell ref="J19:M19"/>
    <mergeCell ref="Q18:S18"/>
    <mergeCell ref="Q19:S19"/>
    <mergeCell ref="Q20:S20"/>
    <mergeCell ref="Q21:S21"/>
    <mergeCell ref="Q22:S22"/>
    <mergeCell ref="Q23:S23"/>
    <mergeCell ref="Q24:S25"/>
    <mergeCell ref="AA24:AA25"/>
    <mergeCell ref="AB24:AB25"/>
    <mergeCell ref="AH25:AI25"/>
    <mergeCell ref="AH27:AL27"/>
    <mergeCell ref="AD28:AF28"/>
    <mergeCell ref="AD33:AF33"/>
    <mergeCell ref="AD38:AF38"/>
    <mergeCell ref="AE40:AF40"/>
    <mergeCell ref="I25:K25"/>
    <mergeCell ref="G26:M26"/>
    <mergeCell ref="K27:M27"/>
    <mergeCell ref="K28:M28"/>
    <mergeCell ref="T24:T25"/>
    <mergeCell ref="U24:U25"/>
    <mergeCell ref="V24:V25"/>
    <mergeCell ref="W24:W25"/>
    <mergeCell ref="X24:X25"/>
    <mergeCell ref="Y24:Y25"/>
    <mergeCell ref="Z24:Z25"/>
    <mergeCell ref="Q28:AB28"/>
    <mergeCell ref="A1:Y1"/>
    <mergeCell ref="AA1:AB1"/>
    <mergeCell ref="AF1:AQ1"/>
    <mergeCell ref="AX1:AZ1"/>
    <mergeCell ref="A2:O2"/>
    <mergeCell ref="Q2:AB2"/>
    <mergeCell ref="BA2:BD2"/>
    <mergeCell ref="U3:U4"/>
    <mergeCell ref="V3:V4"/>
    <mergeCell ref="W3:W4"/>
    <mergeCell ref="X3:X4"/>
    <mergeCell ref="Y3:Y4"/>
    <mergeCell ref="Z3:Z4"/>
    <mergeCell ref="AA3:AA4"/>
    <mergeCell ref="AB3:AB4"/>
    <mergeCell ref="K4:M4"/>
    <mergeCell ref="N4:O4"/>
    <mergeCell ref="K5:M5"/>
    <mergeCell ref="N5:O5"/>
    <mergeCell ref="L8:M8"/>
    <mergeCell ref="L9:M9"/>
    <mergeCell ref="L10:M10"/>
    <mergeCell ref="A3:E3"/>
    <mergeCell ref="F3:J3"/>
    <mergeCell ref="K3:M3"/>
    <mergeCell ref="N3:O3"/>
    <mergeCell ref="Q3:Q4"/>
    <mergeCell ref="R3:S4"/>
    <mergeCell ref="T3:T4"/>
    <mergeCell ref="A4:E4"/>
    <mergeCell ref="F4:J4"/>
    <mergeCell ref="A5:E5"/>
    <mergeCell ref="F5:J5"/>
    <mergeCell ref="A6:E6"/>
    <mergeCell ref="F6:O6"/>
    <mergeCell ref="A12:O12"/>
    <mergeCell ref="A13:M13"/>
    <mergeCell ref="A14:F14"/>
    <mergeCell ref="G14:I14"/>
    <mergeCell ref="J14:M14"/>
    <mergeCell ref="A15:F15"/>
    <mergeCell ref="G15:I15"/>
    <mergeCell ref="J15:M15"/>
    <mergeCell ref="A16:F16"/>
    <mergeCell ref="G16:I16"/>
    <mergeCell ref="J16:M16"/>
    <mergeCell ref="A17:F17"/>
    <mergeCell ref="G17:I17"/>
    <mergeCell ref="J17:M17"/>
    <mergeCell ref="Q17:S17"/>
  </mergeCells>
  <printOptions horizontalCentered="1" verticalCentered="1"/>
  <pageMargins bottom="0.1968503937007874" footer="0.0" header="0.0" left="0.1968503937007874" right="0.1968503937007874" top="0.3346456692913386"/>
  <pageSetup paperSize="9" orientation="landscape"/>
  <drawing r:id="rId1"/>
</worksheet>
</file>